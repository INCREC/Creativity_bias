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Annotations/NL/New/Per word/"/>
    </mc:Choice>
  </mc:AlternateContent>
  <xr:revisionPtr revIDLastSave="68" documentId="8_{3BBDF9D2-EBCF-41B7-B975-77E90F805FD7}" xr6:coauthVersionLast="47" xr6:coauthVersionMax="47" xr10:uidLastSave="{4E7E5C35-F391-43BD-8E23-0E2239771942}"/>
  <bookViews>
    <workbookView xWindow="-108" yWindow="-108" windowWidth="23256" windowHeight="12456" activeTab="2" xr2:uid="{E777A3D1-6F7F-4D1E-859B-6E50D3CD54D7}"/>
  </bookViews>
  <sheets>
    <sheet name="HT" sheetId="1" r:id="rId1"/>
    <sheet name="MT" sheetId="2" r:id="rId2"/>
    <sheet name="PE" sheetId="3" r:id="rId3"/>
  </sheets>
  <definedNames>
    <definedName name="_xlnm._FilterDatabase" localSheetId="2" hidden="1">PE!$A$1:$J$186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4" i="1"/>
  <c r="E4" i="1"/>
  <c r="C40" i="1"/>
  <c r="E40" i="1"/>
  <c r="C41" i="1"/>
  <c r="E41" i="1"/>
  <c r="C42" i="1"/>
  <c r="E42" i="1"/>
  <c r="C43" i="1"/>
  <c r="E43" i="1"/>
  <c r="C44" i="1"/>
  <c r="E44" i="1"/>
  <c r="C153" i="1"/>
  <c r="E153" i="1"/>
  <c r="C154" i="1"/>
  <c r="E154" i="1"/>
  <c r="C155" i="1"/>
  <c r="E155" i="1"/>
  <c r="C156" i="1"/>
  <c r="E156" i="1"/>
  <c r="C157" i="1"/>
  <c r="E157" i="1"/>
  <c r="C162" i="1"/>
  <c r="E162" i="1"/>
  <c r="C163" i="1"/>
  <c r="E163" i="1"/>
  <c r="C164" i="1"/>
  <c r="E164" i="1"/>
  <c r="C165" i="1"/>
  <c r="E165" i="1"/>
  <c r="C166" i="1"/>
  <c r="E166" i="1"/>
  <c r="C167" i="1"/>
  <c r="E167" i="1"/>
  <c r="C168" i="1"/>
  <c r="E168" i="1"/>
  <c r="C169" i="1"/>
  <c r="E169" i="1"/>
  <c r="E3" i="2"/>
  <c r="E4" i="2"/>
  <c r="E5" i="2"/>
  <c r="E6" i="2"/>
  <c r="E7" i="2"/>
  <c r="E8" i="2"/>
  <c r="E9" i="2"/>
  <c r="E10" i="2"/>
  <c r="E1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C3" i="2"/>
  <c r="C4" i="2"/>
  <c r="C5" i="2"/>
  <c r="C6" i="2"/>
  <c r="C7" i="2"/>
  <c r="C8" i="2"/>
  <c r="C9" i="2"/>
  <c r="C10" i="2"/>
  <c r="C11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E3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8" i="1"/>
  <c r="E159" i="1"/>
  <c r="E160" i="1"/>
  <c r="E161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C3" i="1"/>
  <c r="C5" i="1"/>
  <c r="C6" i="1"/>
  <c r="C7" i="1"/>
  <c r="C8" i="1"/>
  <c r="C9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8" i="1"/>
  <c r="C159" i="1"/>
  <c r="C160" i="1"/>
  <c r="C161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E2" i="3"/>
  <c r="C2" i="3"/>
  <c r="E2" i="2"/>
  <c r="C2" i="2"/>
  <c r="E2" i="1"/>
  <c r="C2" i="1"/>
</calcChain>
</file>

<file path=xl/sharedStrings.xml><?xml version="1.0" encoding="utf-8"?>
<sst xmlns="http://schemas.openxmlformats.org/spreadsheetml/2006/main" count="4727" uniqueCount="653">
  <si>
    <t>token_id</t>
  </si>
  <si>
    <t>token</t>
  </si>
  <si>
    <t>ErrorType_clean</t>
  </si>
  <si>
    <t>ErrorType</t>
  </si>
  <si>
    <t>Subcategory</t>
  </si>
  <si>
    <t>Subcategory_Accuracy</t>
  </si>
  <si>
    <t>Subcategory_LinguisticConventions</t>
  </si>
  <si>
    <t>Subcategory_Style</t>
  </si>
  <si>
    <t>Severity</t>
  </si>
  <si>
    <t>Comment</t>
  </si>
  <si>
    <t>1-1</t>
  </si>
  <si>
    <t>_</t>
  </si>
  <si>
    <t>1-2</t>
  </si>
  <si>
    <t>1-3</t>
  </si>
  <si>
    <t>1-4</t>
  </si>
  <si>
    <t>1-5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</si>
  <si>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</si>
  <si>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</si>
  <si>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</si>
  <si>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</si>
  <si>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</si>
  <si>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</si>
  <si>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</si>
  <si>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</si>
  <si>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</si>
  <si>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</si>
  <si>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</si>
  <si>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</si>
  <si>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</si>
  <si>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</si>
  <si>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</si>
  <si>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</si>
  <si>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</si>
  <si>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</si>
  <si>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</si>
  <si>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</si>
  <si>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</si>
  <si>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</si>
  <si>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</si>
  <si>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</si>
  <si>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</si>
  <si>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</si>
  <si>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</si>
  <si>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</si>
  <si>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</si>
  <si>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</si>
  <si>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</si>
  <si>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</si>
  <si>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</si>
  <si>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</si>
  <si>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</si>
  <si>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</si>
  <si>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</si>
  <si>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</si>
  <si>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</si>
  <si>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</si>
  <si>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</si>
  <si>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</si>
  <si>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</si>
  <si>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</si>
  <si>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</si>
  <si>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</si>
  <si>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</si>
  <si>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</si>
  <si>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</si>
  <si>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</si>
  <si>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</si>
  <si>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</si>
  <si>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</si>
  <si>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</si>
  <si>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</si>
  <si>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</si>
  <si>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</si>
  <si>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</si>
  <si>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</si>
  <si>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</si>
  <si>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</si>
  <si>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</si>
  <si>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</si>
  <si>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</si>
  <si>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</si>
  <si>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</si>
  <si>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</si>
  <si>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</si>
  <si>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</si>
  <si>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</si>
  <si>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</si>
  <si>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</si>
  <si>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</si>
  <si>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</si>
  <si>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</si>
  <si>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</si>
  <si>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</si>
  <si>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</si>
  <si>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</si>
  <si>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</si>
  <si>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</si>
  <si>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</si>
  <si>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</si>
  <si>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</si>
  <si>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</si>
  <si>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</si>
  <si>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</si>
  <si>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</si>
  <si>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</si>
  <si>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</si>
  <si>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</si>
  <si>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</si>
  <si>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</si>
  <si>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</si>
  <si>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</si>
  <si>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</si>
  <si>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</si>
  <si>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</si>
  <si>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</si>
  <si>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</si>
  <si>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</si>
  <si>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</si>
  <si>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</si>
  <si>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</si>
  <si>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</si>
  <si>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</si>
  <si>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</si>
  <si>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</si>
  <si>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</si>
  <si>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4-50</t>
  </si>
  <si>
    <t>4-51</t>
  </si>
  <si>
    <t>4-52</t>
  </si>
  <si>
    <t>4-53</t>
  </si>
  <si>
    <t>4-54</t>
  </si>
  <si>
    <t>4-55</t>
  </si>
  <si>
    <t>4-56</t>
  </si>
  <si>
    <t>4-57</t>
  </si>
  <si>
    <t>4-58</t>
  </si>
  <si>
    <t>4-59</t>
  </si>
  <si>
    <t>4-60</t>
  </si>
  <si>
    <t>4-61</t>
  </si>
  <si>
    <t>4-62</t>
  </si>
  <si>
    <t>4-63</t>
  </si>
  <si>
    <t>4-64</t>
  </si>
  <si>
    <t>4-65</t>
  </si>
  <si>
    <t>4-66</t>
  </si>
  <si>
    <t>4-67</t>
  </si>
  <si>
    <t>4-68</t>
  </si>
  <si>
    <t>4-69</t>
  </si>
  <si>
    <t>4-70</t>
  </si>
  <si>
    <t>4-71</t>
  </si>
  <si>
    <t>4-72</t>
  </si>
  <si>
    <t>4-73</t>
  </si>
  <si>
    <t>4-74</t>
  </si>
  <si>
    <t>4-75</t>
  </si>
  <si>
    <t>4-76</t>
  </si>
  <si>
    <t>4-77</t>
  </si>
  <si>
    <t>4-78</t>
  </si>
  <si>
    <t>4-79</t>
  </si>
  <si>
    <t>4-80</t>
  </si>
  <si>
    <t>4-81</t>
  </si>
  <si>
    <t>4-82</t>
  </si>
  <si>
    <t>4-83</t>
  </si>
  <si>
    <t>4-84</t>
  </si>
  <si>
    <t>4-85</t>
  </si>
  <si>
    <t>4-86</t>
  </si>
  <si>
    <t>4-87</t>
  </si>
  <si>
    <t>4-88</t>
  </si>
  <si>
    <t>4-89</t>
  </si>
  <si>
    <t>4-90</t>
  </si>
  <si>
    <t>4-91</t>
  </si>
  <si>
    <t>4-92</t>
  </si>
  <si>
    <t>4-93</t>
  </si>
  <si>
    <t>4-94</t>
  </si>
  <si>
    <t>4-95</t>
  </si>
  <si>
    <t>4-96</t>
  </si>
  <si>
    <t>4-97</t>
  </si>
  <si>
    <t>4-98</t>
  </si>
  <si>
    <t>4-99</t>
  </si>
  <si>
    <t>4-100</t>
  </si>
  <si>
    <t>4-101</t>
  </si>
  <si>
    <t>4-102</t>
  </si>
  <si>
    <t>4-103</t>
  </si>
  <si>
    <t>4-104</t>
  </si>
  <si>
    <t>4-105</t>
  </si>
  <si>
    <t>4-106</t>
  </si>
  <si>
    <t>4-107</t>
  </si>
  <si>
    <t>4-108</t>
  </si>
  <si>
    <t>4-109</t>
  </si>
  <si>
    <t>4-110</t>
  </si>
  <si>
    <t>4-111</t>
  </si>
  <si>
    <t>4-112</t>
  </si>
  <si>
    <t>4-113</t>
  </si>
  <si>
    <t>4-114</t>
  </si>
  <si>
    <t>4-115</t>
  </si>
  <si>
    <t>4-116</t>
  </si>
  <si>
    <t>4-117</t>
  </si>
  <si>
    <t>4-118</t>
  </si>
  <si>
    <t>4-119</t>
  </si>
  <si>
    <t>4-120</t>
  </si>
  <si>
    <t>*</t>
  </si>
  <si>
    <t>Bad</t>
  </si>
  <si>
    <t>De</t>
  </si>
  <si>
    <t>dag</t>
  </si>
  <si>
    <t>is</t>
  </si>
  <si>
    <t>fraai</t>
  </si>
  <si>
    <t>en</t>
  </si>
  <si>
    <t>frisgewassen</t>
  </si>
  <si>
    <t>,</t>
  </si>
  <si>
    <t>er</t>
  </si>
  <si>
    <t>hangt</t>
  </si>
  <si>
    <t>een</t>
  </si>
  <si>
    <t>geur</t>
  </si>
  <si>
    <t>van</t>
  </si>
  <si>
    <t>tulpen</t>
  </si>
  <si>
    <t>narcissen</t>
  </si>
  <si>
    <t>in</t>
  </si>
  <si>
    <t>de</t>
  </si>
  <si>
    <t>lucht</t>
  </si>
  <si>
    <t>.</t>
  </si>
  <si>
    <t>Het</t>
  </si>
  <si>
    <t>zonlicht</t>
  </si>
  <si>
    <t>klatert</t>
  </si>
  <si>
    <t>door</t>
  </si>
  <si>
    <t>het</t>
  </si>
  <si>
    <t>badkamerraam</t>
  </si>
  <si>
    <t>naar</t>
  </si>
  <si>
    <t>binnen</t>
  </si>
  <si>
    <t>boort</t>
  </si>
  <si>
    <t>zich</t>
  </si>
  <si>
    <t>groenwitte</t>
  </si>
  <si>
    <t>lagen</t>
  </si>
  <si>
    <t>vlakken</t>
  </si>
  <si>
    <t>water</t>
  </si>
  <si>
    <t>badkuip</t>
  </si>
  <si>
    <t>klieft</t>
  </si>
  <si>
    <t>breuken</t>
  </si>
  <si>
    <t>als</t>
  </si>
  <si>
    <t>edelsteen</t>
  </si>
  <si>
    <t>splijt</t>
  </si>
  <si>
    <t>tot</t>
  </si>
  <si>
    <t>stralend</t>
  </si>
  <si>
    <t>licht</t>
  </si>
  <si>
    <t>Op</t>
  </si>
  <si>
    <t>oppervlakte</t>
  </si>
  <si>
    <t>liggen</t>
  </si>
  <si>
    <t>vlekjes</t>
  </si>
  <si>
    <t>zon</t>
  </si>
  <si>
    <t>ze</t>
  </si>
  <si>
    <t>dansen</t>
  </si>
  <si>
    <t>hun</t>
  </si>
  <si>
    <t>reflecties</t>
  </si>
  <si>
    <t>wiegelen</t>
  </si>
  <si>
    <t>heerlijk</t>
  </si>
  <si>
    <t>over</t>
  </si>
  <si>
    <t>plafond</t>
  </si>
  <si>
    <t>:</t>
  </si>
  <si>
    <t>één</t>
  </si>
  <si>
    <t>beweging</t>
  </si>
  <si>
    <t>mijn</t>
  </si>
  <si>
    <t>vinger</t>
  </si>
  <si>
    <t>rollen</t>
  </si>
  <si>
    <t>tollen</t>
  </si>
  <si>
    <t>rond</t>
  </si>
  <si>
    <t>Mijn</t>
  </si>
  <si>
    <t>voet</t>
  </si>
  <si>
    <t>zet</t>
  </si>
  <si>
    <t>lichtvlakken</t>
  </si>
  <si>
    <t>waterbassin</t>
  </si>
  <si>
    <t>Ik</t>
  </si>
  <si>
    <t>leun</t>
  </si>
  <si>
    <t>achterover</t>
  </si>
  <si>
    <t>lach</t>
  </si>
  <si>
    <t>laat</t>
  </si>
  <si>
    <t>zongebroken</t>
  </si>
  <si>
    <t>berylwater</t>
  </si>
  <si>
    <t>me</t>
  </si>
  <si>
    <t>stromen</t>
  </si>
  <si>
    <t>bijna</t>
  </si>
  <si>
    <t>onverdraaglijk</t>
  </si>
  <si>
    <t>groene</t>
  </si>
  <si>
    <t>beschut</t>
  </si>
  <si>
    <t>tegen</t>
  </si>
  <si>
    <t>te</t>
  </si>
  <si>
    <t>stralende</t>
  </si>
  <si>
    <t>zal</t>
  </si>
  <si>
    <t>hier</t>
  </si>
  <si>
    <t>tijdje</t>
  </si>
  <si>
    <t>spelen</t>
  </si>
  <si>
    <t>met</t>
  </si>
  <si>
    <t>zonnevlekken</t>
  </si>
  <si>
    <t>blauw</t>
  </si>
  <si>
    <t>hoog</t>
  </si>
  <si>
    <t>Een</t>
  </si>
  <si>
    <t>kraai</t>
  </si>
  <si>
    <t>wiekt</t>
  </si>
  <si>
    <t>langs</t>
  </si>
  <si>
    <t>raam</t>
  </si>
  <si>
    <t>vleug</t>
  </si>
  <si>
    <t>Kudos[1]</t>
  </si>
  <si>
    <t>Linguistic Convention</t>
  </si>
  <si>
    <t>Style[2]</t>
  </si>
  <si>
    <t>Style[2]|Accuracy[3]</t>
  </si>
  <si>
    <t>Accuracy[4]</t>
  </si>
  <si>
    <t>Kudos[5]</t>
  </si>
  <si>
    <t>Style[6]</t>
  </si>
  <si>
    <t>Kudos[7]</t>
  </si>
  <si>
    <t>Kudos[8]</t>
  </si>
  <si>
    <t>N/A (for kudos)</t>
  </si>
  <si>
    <t>Grammar</t>
  </si>
  <si>
    <t>Minor</t>
  </si>
  <si>
    <t>Unidiomatic style</t>
  </si>
  <si>
    <t>*|Mistranslation</t>
  </si>
  <si>
    <t>*|*</t>
  </si>
  <si>
    <t>Unidiomatic style|*</t>
  </si>
  <si>
    <t>Minor|Minor</t>
  </si>
  <si>
    <t>Undertranslation</t>
  </si>
  <si>
    <t>*[1]</t>
  </si>
  <si>
    <t>we zeggen eerder 'het water in de badkuip'</t>
  </si>
  <si>
    <t>de herhaling van 'het water' is stilistisch niet zo geslaagd[2]</t>
  </si>
  <si>
    <t>de herhaling van 'het water' is stilistisch niet zo geslaagd[2]|'flaw' betekent in de context van edelstenen 'zwakke plek'[3]</t>
  </si>
  <si>
    <t>'beweging' is iets minder precies vertaald, en het zorgt ook voor een storende herhaling in de volgende zin met 'in bewegin'[4]</t>
  </si>
  <si>
    <t>*[5]</t>
  </si>
  <si>
    <t>*[6]</t>
  </si>
  <si>
    <t>*[7]</t>
  </si>
  <si>
    <t>*[8]</t>
  </si>
  <si>
    <t>3-41</t>
  </si>
  <si>
    <t>4-121</t>
  </si>
  <si>
    <t>4-122</t>
  </si>
  <si>
    <t>4-123</t>
  </si>
  <si>
    <t>4-124</t>
  </si>
  <si>
    <t>4-125</t>
  </si>
  <si>
    <t>4-126</t>
  </si>
  <si>
    <t>4-127</t>
  </si>
  <si>
    <t>4-128</t>
  </si>
  <si>
    <t>4-129</t>
  </si>
  <si>
    <t>4-130</t>
  </si>
  <si>
    <t>4-131</t>
  </si>
  <si>
    <t>4-132</t>
  </si>
  <si>
    <t>4-133</t>
  </si>
  <si>
    <t>4-134</t>
  </si>
  <si>
    <t>4-135</t>
  </si>
  <si>
    <t>4-136</t>
  </si>
  <si>
    <t>4-137</t>
  </si>
  <si>
    <t>kraakschoon</t>
  </si>
  <si>
    <t>stroomt</t>
  </si>
  <si>
    <t>dringt</t>
  </si>
  <si>
    <t>balken</t>
  </si>
  <si>
    <t>groenachtig</t>
  </si>
  <si>
    <t>wit</t>
  </si>
  <si>
    <t>breekt</t>
  </si>
  <si>
    <t>facetten</t>
  </si>
  <si>
    <t>helder</t>
  </si>
  <si>
    <t>Kleine</t>
  </si>
  <si>
    <t>op</t>
  </si>
  <si>
    <t>spiegelingen</t>
  </si>
  <si>
    <t>;</t>
  </si>
  <si>
    <t>ik</t>
  </si>
  <si>
    <t>roer</t>
  </si>
  <si>
    <t>zwieren</t>
  </si>
  <si>
    <t>beweeg</t>
  </si>
  <si>
    <t>worden</t>
  </si>
  <si>
    <t>verstoord</t>
  </si>
  <si>
    <t>achteren</t>
  </si>
  <si>
    <t>gefacetteerde</t>
  </si>
  <si>
    <t>berilwater</t>
  </si>
  <si>
    <t>heen</t>
  </si>
  <si>
    <t>om</t>
  </si>
  <si>
    <t>verdragen</t>
  </si>
  <si>
    <t>schermt</t>
  </si>
  <si>
    <t>af</t>
  </si>
  <si>
    <t>voor</t>
  </si>
  <si>
    <t>heldere</t>
  </si>
  <si>
    <t>nog</t>
  </si>
  <si>
    <t>even</t>
  </si>
  <si>
    <t>blijven</t>
  </si>
  <si>
    <t>zonnevlekjes</t>
  </si>
  <si>
    <t>hemel</t>
  </si>
  <si>
    <t>klapwiekt</t>
  </si>
  <si>
    <t>zweem</t>
  </si>
  <si>
    <t>Accuracy</t>
  </si>
  <si>
    <t>Linguistic Convention[1]</t>
  </si>
  <si>
    <t>*[2]</t>
  </si>
  <si>
    <t>Style[3]</t>
  </si>
  <si>
    <t>Style[5]</t>
  </si>
  <si>
    <t>Awkward style</t>
  </si>
  <si>
    <t>Inconsistent style</t>
  </si>
  <si>
    <t>kraahleder is more usual, kraakschoon a nice invention.</t>
  </si>
  <si>
    <t>Better (more Dutch) would be to have the lathes and planes "groenachtig wit" adjectively that is.[1]</t>
  </si>
  <si>
    <t>facetten is well found.[2]</t>
  </si>
  <si>
    <t>verstoren is a bit to negative and violent, for just the setting in motion.</t>
  </si>
  <si>
    <t>there's nothing wrong with "onverdraaglijk" here.[3]</t>
  </si>
  <si>
    <t>Nice word.</t>
  </si>
  <si>
    <t>Kudos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</si>
  <si>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</si>
  <si>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</si>
  <si>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</si>
  <si>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</si>
  <si>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</si>
  <si>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</si>
  <si>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</si>
  <si>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</si>
  <si>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</si>
  <si>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</si>
  <si>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</si>
  <si>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</si>
  <si>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</si>
  <si>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</si>
  <si>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</si>
  <si>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</si>
  <si>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</si>
  <si>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</si>
  <si>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</si>
  <si>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</si>
  <si>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</si>
  <si>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</si>
  <si>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</si>
  <si>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</si>
  <si>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</si>
  <si>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</si>
  <si>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</si>
  <si>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</si>
  <si>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</si>
  <si>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</si>
  <si>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</si>
  <si>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</si>
  <si>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</si>
  <si>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</si>
  <si>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</si>
  <si>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</si>
  <si>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</si>
  <si>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</si>
  <si>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</si>
  <si>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</si>
  <si>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</si>
  <si>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</si>
  <si>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</si>
  <si>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</si>
  <si>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</si>
  <si>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</si>
  <si>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</si>
  <si>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</si>
  <si>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</si>
  <si>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</si>
  <si>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</si>
  <si>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</si>
  <si>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</si>
  <si>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</si>
  <si>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1-60</t>
  </si>
  <si>
    <t>1-61</t>
  </si>
  <si>
    <t>1-62</t>
  </si>
  <si>
    <t>1-63</t>
  </si>
  <si>
    <t>1-64</t>
  </si>
  <si>
    <t>1-65</t>
  </si>
  <si>
    <t>1-66</t>
  </si>
  <si>
    <t>1-67</t>
  </si>
  <si>
    <t>1-68</t>
  </si>
  <si>
    <t>1-69</t>
  </si>
  <si>
    <t>1-70</t>
  </si>
  <si>
    <t>1-71</t>
  </si>
  <si>
    <t>1-72</t>
  </si>
  <si>
    <t>1-73</t>
  </si>
  <si>
    <t>1-74</t>
  </si>
  <si>
    <t>1-75</t>
  </si>
  <si>
    <t>1-76</t>
  </si>
  <si>
    <t>1-77</t>
  </si>
  <si>
    <t>1-78</t>
  </si>
  <si>
    <t>1-79</t>
  </si>
  <si>
    <t>1-80</t>
  </si>
  <si>
    <t>1-81</t>
  </si>
  <si>
    <t>1-82</t>
  </si>
  <si>
    <t>1-83</t>
  </si>
  <si>
    <t>1-84</t>
  </si>
  <si>
    <t>1-85</t>
  </si>
  <si>
    <t>1-86</t>
  </si>
  <si>
    <t>1-87</t>
  </si>
  <si>
    <t>1-88</t>
  </si>
  <si>
    <t>1-89</t>
  </si>
  <si>
    <t>1-90</t>
  </si>
  <si>
    <t>1-91</t>
  </si>
  <si>
    <t>1-92</t>
  </si>
  <si>
    <t>1-93</t>
  </si>
  <si>
    <t>1-94</t>
  </si>
  <si>
    <t>1-95</t>
  </si>
  <si>
    <t>1-96</t>
  </si>
  <si>
    <t>1-97</t>
  </si>
  <si>
    <t>1-98</t>
  </si>
  <si>
    <t>1-99</t>
  </si>
  <si>
    <t>1-100</t>
  </si>
  <si>
    <t>1-101</t>
  </si>
  <si>
    <t>1-102</t>
  </si>
  <si>
    <t>1-103</t>
  </si>
  <si>
    <t>1-104</t>
  </si>
  <si>
    <t>1-105</t>
  </si>
  <si>
    <t>1-106</t>
  </si>
  <si>
    <t>1-107</t>
  </si>
  <si>
    <t>1-108</t>
  </si>
  <si>
    <t>1-109</t>
  </si>
  <si>
    <t>1-110</t>
  </si>
  <si>
    <t>1-111</t>
  </si>
  <si>
    <t>1-112</t>
  </si>
  <si>
    <t>1-113</t>
  </si>
  <si>
    <t>1-114</t>
  </si>
  <si>
    <t>1-115</t>
  </si>
  <si>
    <t>1-116</t>
  </si>
  <si>
    <t>1-117</t>
  </si>
  <si>
    <t>1-118</t>
  </si>
  <si>
    <t>1-119</t>
  </si>
  <si>
    <t>1-120</t>
  </si>
  <si>
    <t>1-121</t>
  </si>
  <si>
    <t>1-122</t>
  </si>
  <si>
    <t>1-123</t>
  </si>
  <si>
    <t>1-124</t>
  </si>
  <si>
    <t>1-125</t>
  </si>
  <si>
    <t>1-126</t>
  </si>
  <si>
    <t>1-127</t>
  </si>
  <si>
    <t>1-128</t>
  </si>
  <si>
    <t>1-129</t>
  </si>
  <si>
    <t>1-130</t>
  </si>
  <si>
    <t>1-131</t>
  </si>
  <si>
    <t>1-132</t>
  </si>
  <si>
    <t>1-133</t>
  </si>
  <si>
    <t>1-134</t>
  </si>
  <si>
    <t>1-135</t>
  </si>
  <si>
    <t>1-136</t>
  </si>
  <si>
    <t>1-137</t>
  </si>
  <si>
    <t>1-138</t>
  </si>
  <si>
    <t>1-139</t>
  </si>
  <si>
    <t>1-140</t>
  </si>
  <si>
    <t>1-141</t>
  </si>
  <si>
    <t>1-142</t>
  </si>
  <si>
    <t>1-143</t>
  </si>
  <si>
    <t>1-144</t>
  </si>
  <si>
    <t>1-145</t>
  </si>
  <si>
    <t>1-146</t>
  </si>
  <si>
    <t>1-147</t>
  </si>
  <si>
    <t>1-148</t>
  </si>
  <si>
    <t>1-149</t>
  </si>
  <si>
    <t>1-150</t>
  </si>
  <si>
    <t>1-151</t>
  </si>
  <si>
    <t>1-152</t>
  </si>
  <si>
    <t>1-153</t>
  </si>
  <si>
    <t>1-154</t>
  </si>
  <si>
    <t>1-155</t>
  </si>
  <si>
    <t>1-156</t>
  </si>
  <si>
    <t>1-157</t>
  </si>
  <si>
    <t>1-158</t>
  </si>
  <si>
    <t>1-159</t>
  </si>
  <si>
    <t>1-160</t>
  </si>
  <si>
    <t>1-161</t>
  </si>
  <si>
    <t>1-162</t>
  </si>
  <si>
    <t>1-163</t>
  </si>
  <si>
    <t>1-164</t>
  </si>
  <si>
    <t>1-165</t>
  </si>
  <si>
    <t>1-166</t>
  </si>
  <si>
    <t>1-167</t>
  </si>
  <si>
    <t>1-168</t>
  </si>
  <si>
    <t>1-169</t>
  </si>
  <si>
    <t>1-170</t>
  </si>
  <si>
    <t>1-171</t>
  </si>
  <si>
    <t>1-172</t>
  </si>
  <si>
    <t>1-173</t>
  </si>
  <si>
    <t>1-174</t>
  </si>
  <si>
    <t>1-175</t>
  </si>
  <si>
    <t>1-176</t>
  </si>
  <si>
    <t>1-177</t>
  </si>
  <si>
    <t>1-178</t>
  </si>
  <si>
    <t>1-179</t>
  </si>
  <si>
    <t>1-180</t>
  </si>
  <si>
    <t>1-181</t>
  </si>
  <si>
    <t>1-182</t>
  </si>
  <si>
    <t>1-183</t>
  </si>
  <si>
    <t>1-184</t>
  </si>
  <si>
    <t>1-185</t>
  </si>
  <si>
    <t>1-186</t>
  </si>
  <si>
    <t>1-187</t>
  </si>
  <si>
    <t>1-188</t>
  </si>
  <si>
    <t>1-189</t>
  </si>
  <si>
    <t>1-190</t>
  </si>
  <si>
    <t>1-191</t>
  </si>
  <si>
    <t>1-192</t>
  </si>
  <si>
    <t>1-193</t>
  </si>
  <si>
    <t>1-194</t>
  </si>
  <si>
    <t>1-195</t>
  </si>
  <si>
    <t>1-196</t>
  </si>
  <si>
    <t>1-197</t>
  </si>
  <si>
    <t>1-198</t>
  </si>
  <si>
    <t>bad</t>
  </si>
  <si>
    <t>pas</t>
  </si>
  <si>
    <t>gewassen</t>
  </si>
  <si>
    <t>fris</t>
  </si>
  <si>
    <t>geurt</t>
  </si>
  <si>
    <t>narcis</t>
  </si>
  <si>
    <t>gul</t>
  </si>
  <si>
    <t>—</t>
  </si>
  <si>
    <t>banen</t>
  </si>
  <si>
    <t>groenig</t>
  </si>
  <si>
    <t>snijdt</t>
  </si>
  <si>
    <t>barsten</t>
  </si>
  <si>
    <t>doet</t>
  </si>
  <si>
    <t>oplichten</t>
  </si>
  <si>
    <t>flarden</t>
  </si>
  <si>
    <t>wateroppervlak</t>
  </si>
  <si>
    <t>terwijl</t>
  </si>
  <si>
    <t>weerspiegelingen</t>
  </si>
  <si>
    <t>zalig</t>
  </si>
  <si>
    <t>wiebelen</t>
  </si>
  <si>
    <t>aan</t>
  </si>
  <si>
    <t>schokken</t>
  </si>
  <si>
    <t>uiteen</t>
  </si>
  <si>
    <t>groen-witte</t>
  </si>
  <si>
    <t>berylgroen</t>
  </si>
  <si>
    <t>mij</t>
  </si>
  <si>
    <t>bedekt</t>
  </si>
  <si>
    <t>felle</t>
  </si>
  <si>
    <t>blijf</t>
  </si>
  <si>
    <t>speel</t>
  </si>
  <si>
    <t>dansende</t>
  </si>
  <si>
    <t>flapt</t>
  </si>
  <si>
    <t>En</t>
  </si>
  <si>
    <t>weer</t>
  </si>
  <si>
    <t>vleugje</t>
  </si>
  <si>
    <t>Style[1]</t>
  </si>
  <si>
    <t>Kudos[2]</t>
  </si>
  <si>
    <t>Style</t>
  </si>
  <si>
    <t>Accuracy[6]</t>
  </si>
  <si>
    <t>Major</t>
  </si>
  <si>
    <t>Mistranslation</t>
  </si>
  <si>
    <t>Register</t>
  </si>
  <si>
    <t>Spelling</t>
  </si>
  <si>
    <t>Addition</t>
  </si>
  <si>
    <t>De vertaling van deze regel moet meer overeenstemmen met die van de laatste regel, als in de BT[1]</t>
  </si>
  <si>
    <t>De gedachtestreep zorgt voor een pauze die er in de BT niet is</t>
  </si>
  <si>
    <t>Iets zwakker vertaald dan het er staat</t>
  </si>
  <si>
    <t>'flaw' betekent in de context van edelstenen 'zwakke plek'</t>
  </si>
  <si>
    <t>Storende echo van 'licht'[3]</t>
  </si>
  <si>
    <t>een zonnevlek is een donkere vlek op de zon, hier gaat het om vlekjes zonlicht</t>
  </si>
  <si>
    <t>In de BT staan twee verschillende werkwoorden: whirring, reeling[4]</t>
  </si>
  <si>
    <t>'groen-wit' betekent 'groen en wit afzonderlijk', de correcte spelling is hier 'groenwit' (wit met een groene tint)</t>
  </si>
  <si>
    <t>correcter is de verbogen vorm van het adjectief: 'berylgroene'</t>
  </si>
  <si>
    <t>idem als hoger</t>
  </si>
  <si>
    <t>'flappen' is regionaal taalgebruik, voelt hier ook niet idiomatisch aan</t>
  </si>
  <si>
    <t>Veel nadrukkelijker dan de brontekst, ook door de dubbelepunt, in de BT loopt de zin vloeiend door[6]</t>
  </si>
  <si>
    <t>Het gerijm klinkt heel kinderlijk</t>
  </si>
  <si>
    <t>Style[1]|Accuracy</t>
  </si>
  <si>
    <t>Inconsistent style|*</t>
  </si>
  <si>
    <t>Major|Major</t>
  </si>
  <si>
    <t>De vertaling van deze regel moet meer overeenstemmen met die van de laatste regel, als in de BT[1]|Het gerijm klinkt heel kinderlijk</t>
  </si>
  <si>
    <t>Style[1]|Accuracy|Style</t>
  </si>
  <si>
    <t>Inconsistent style|**</t>
  </si>
  <si>
    <t>Major|Major|Minor</t>
  </si>
  <si>
    <t>De vertaling van deze regel moet meer overeenstemmen met die van de laatste regel, als in de BT[1]|Het gerijm klinkt heel kinderlijk| Enkelvoudig narcis zonder lidwoord klinkt niet in het Nederlands</t>
  </si>
  <si>
    <t>Verkeerd register</t>
  </si>
  <si>
    <t>Style[2]|Linguistic Convention</t>
  </si>
  <si>
    <t>Unidiomatic style|Grammar</t>
  </si>
  <si>
    <t>de herhaling van 'het water' is stilistisch niet zo geslaagd[2]|tot klinkt als een tijd</t>
  </si>
  <si>
    <t>waterbassin is iets ouderwets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</si>
</sst>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CCD0-7A88-45C0-867B-659A19FDCF96}">
  <dimension ref="A1:J203"/>
  <sheetViews>
    <sheetView topLeftCell="A7" workbookViewId="0">
      <selection activeCell="J10" sqref="J10"/>
    </sheetView>
  </sheetViews>
  <sheetFormatPr defaultRowHeight="14.4" x14ac:dyDescent="0.3"/>
  <cols>
    <col min="1" max="1" width="10.33203125" bestFit="1" customWidth="1"/>
    <col min="2" max="2" width="12.21875" bestFit="1" customWidth="1"/>
    <col min="3" max="3" width="18.109375" bestFit="1" customWidth="1"/>
    <col min="4" max="4" width="20.21875" hidden="1" customWidth="1"/>
    <col min="5" max="5" width="14.8867187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2.88671875" bestFit="1" customWidth="1"/>
    <col min="10" max="10" width="8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196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196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197</v>
      </c>
      <c r="C4" t="str">
        <f t="shared" ref="C4" si="2">IFERROR(LEFT(D4, FIND("[", D4)-1), D4)</f>
        <v>_</v>
      </c>
      <c r="D4" t="s">
        <v>11</v>
      </c>
      <c r="E4" t="str">
        <f t="shared" ref="E4" si="3">IF(F4="", "", IF(F4="*",IF(G4="*", IF(H4="*", "check", H4), G4), F4))</f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196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196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198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17</v>
      </c>
      <c r="B8" t="s">
        <v>199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18</v>
      </c>
      <c r="B9" t="s">
        <v>200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19</v>
      </c>
      <c r="B10" t="s">
        <v>340</v>
      </c>
      <c r="C10" t="s">
        <v>389</v>
      </c>
      <c r="D10" t="s">
        <v>196</v>
      </c>
      <c r="E10" t="s">
        <v>389</v>
      </c>
      <c r="F10" t="s">
        <v>196</v>
      </c>
      <c r="G10" t="s">
        <v>196</v>
      </c>
      <c r="H10" t="s">
        <v>196</v>
      </c>
      <c r="I10" t="s">
        <v>304</v>
      </c>
      <c r="J10" t="s">
        <v>383</v>
      </c>
    </row>
    <row r="11" spans="1:10" x14ac:dyDescent="0.3">
      <c r="A11" t="s">
        <v>20</v>
      </c>
      <c r="B11" t="s">
        <v>202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21</v>
      </c>
      <c r="B12" t="s">
        <v>238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22</v>
      </c>
      <c r="B13" t="s">
        <v>202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23</v>
      </c>
      <c r="B14" t="s">
        <v>205</v>
      </c>
      <c r="C14" t="str">
        <f t="shared" si="0"/>
        <v>_</v>
      </c>
      <c r="D14" t="s">
        <v>11</v>
      </c>
      <c r="E14" t="str">
        <f t="shared" si="1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24</v>
      </c>
      <c r="B15" t="s">
        <v>206</v>
      </c>
      <c r="C15" t="str">
        <f t="shared" si="0"/>
        <v>_</v>
      </c>
      <c r="D15" t="s">
        <v>11</v>
      </c>
      <c r="E15" t="str">
        <f t="shared" si="1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25</v>
      </c>
      <c r="B16" t="s">
        <v>207</v>
      </c>
      <c r="C16" t="str">
        <f t="shared" si="0"/>
        <v>_</v>
      </c>
      <c r="D16" t="s">
        <v>11</v>
      </c>
      <c r="E16" t="str">
        <f t="shared" si="1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26</v>
      </c>
      <c r="B17" t="s">
        <v>208</v>
      </c>
      <c r="C17" t="str">
        <f t="shared" si="0"/>
        <v>_</v>
      </c>
      <c r="D17" t="s">
        <v>11</v>
      </c>
      <c r="E17" t="str">
        <f t="shared" si="1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27</v>
      </c>
      <c r="B18" t="s">
        <v>209</v>
      </c>
      <c r="C18" t="str">
        <f t="shared" si="0"/>
        <v>_</v>
      </c>
      <c r="D18" t="s">
        <v>11</v>
      </c>
      <c r="E18" t="str">
        <f t="shared" si="1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28</v>
      </c>
      <c r="B19" t="s">
        <v>210</v>
      </c>
      <c r="C19" t="str">
        <f t="shared" si="0"/>
        <v>_</v>
      </c>
      <c r="D19" t="s">
        <v>11</v>
      </c>
      <c r="E19" t="str">
        <f t="shared" si="1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29</v>
      </c>
      <c r="B20" t="s">
        <v>202</v>
      </c>
      <c r="C20" t="str">
        <f t="shared" si="0"/>
        <v>_</v>
      </c>
      <c r="D20" t="s">
        <v>11</v>
      </c>
      <c r="E20" t="str">
        <f t="shared" si="1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30</v>
      </c>
      <c r="B21" t="s">
        <v>211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31</v>
      </c>
      <c r="B22" t="s">
        <v>212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32</v>
      </c>
      <c r="B23" t="s">
        <v>213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33</v>
      </c>
      <c r="B24" t="s">
        <v>214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34</v>
      </c>
      <c r="B25" t="s">
        <v>215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36</v>
      </c>
      <c r="B26" t="s">
        <v>216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t="s">
        <v>37</v>
      </c>
      <c r="B27" t="s">
        <v>217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38</v>
      </c>
      <c r="B28" t="s">
        <v>341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39</v>
      </c>
      <c r="B29" t="s">
        <v>219</v>
      </c>
      <c r="C29" t="str">
        <f t="shared" si="0"/>
        <v>_</v>
      </c>
      <c r="D29" t="s">
        <v>11</v>
      </c>
      <c r="E29" t="str">
        <f t="shared" si="1"/>
        <v>_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3">
      <c r="A30" t="s">
        <v>40</v>
      </c>
      <c r="B30" t="s">
        <v>220</v>
      </c>
      <c r="C30" t="str">
        <f t="shared" si="0"/>
        <v>_</v>
      </c>
      <c r="D30" t="s">
        <v>11</v>
      </c>
      <c r="E30" t="str">
        <f t="shared" si="1"/>
        <v>_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3">
      <c r="A31" t="s">
        <v>41</v>
      </c>
      <c r="B31" t="s">
        <v>293</v>
      </c>
      <c r="C31" t="str">
        <f t="shared" si="0"/>
        <v>_</v>
      </c>
      <c r="D31" t="s">
        <v>11</v>
      </c>
      <c r="E31" t="str">
        <f t="shared" si="1"/>
        <v>_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3">
      <c r="A32" t="s">
        <v>42</v>
      </c>
      <c r="B32" t="s">
        <v>222</v>
      </c>
      <c r="C32" t="str">
        <f t="shared" si="0"/>
        <v>_</v>
      </c>
      <c r="D32" t="s">
        <v>11</v>
      </c>
      <c r="E32" t="str">
        <f t="shared" si="1"/>
        <v>_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3">
      <c r="A33" t="s">
        <v>43</v>
      </c>
      <c r="B33" t="s">
        <v>223</v>
      </c>
      <c r="C33" t="str">
        <f t="shared" si="0"/>
        <v>_</v>
      </c>
      <c r="D33" t="s">
        <v>11</v>
      </c>
      <c r="E33" t="str">
        <f t="shared" si="1"/>
        <v>_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3">
      <c r="A34" t="s">
        <v>44</v>
      </c>
      <c r="B34" t="s">
        <v>202</v>
      </c>
      <c r="C34" t="str">
        <f t="shared" si="0"/>
        <v>_</v>
      </c>
      <c r="D34" t="s">
        <v>11</v>
      </c>
      <c r="E34" t="str">
        <f t="shared" si="1"/>
        <v>_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3">
      <c r="A35" t="s">
        <v>45</v>
      </c>
      <c r="B35" t="s">
        <v>342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46</v>
      </c>
      <c r="B36" t="s">
        <v>219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47</v>
      </c>
      <c r="B37" t="s">
        <v>220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48</v>
      </c>
      <c r="B38" t="s">
        <v>229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49</v>
      </c>
      <c r="B39" t="s">
        <v>212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50</v>
      </c>
      <c r="B40" t="s">
        <v>213</v>
      </c>
      <c r="C40" t="str">
        <f t="shared" ref="C40:C44" si="4">IFERROR(LEFT(D40, FIND("[", D40)-1), D40)</f>
        <v>_</v>
      </c>
      <c r="D40" t="s">
        <v>11</v>
      </c>
      <c r="E40" t="str">
        <f t="shared" ref="E40:E44" si="5">IF(F40="", "", IF(F40="*",IF(G40="*", IF(H40="*", "check", H40), G40), F40))</f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51</v>
      </c>
      <c r="B41" t="s">
        <v>230</v>
      </c>
      <c r="C41" t="str">
        <f t="shared" si="4"/>
        <v>_</v>
      </c>
      <c r="D41" t="s">
        <v>11</v>
      </c>
      <c r="E41" t="str">
        <f t="shared" si="5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52</v>
      </c>
      <c r="B42" t="s">
        <v>212</v>
      </c>
      <c r="C42" t="str">
        <f t="shared" si="4"/>
        <v>_</v>
      </c>
      <c r="D42" t="s">
        <v>11</v>
      </c>
      <c r="E42" t="str">
        <f t="shared" si="5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53</v>
      </c>
      <c r="B43" t="s">
        <v>343</v>
      </c>
      <c r="C43" t="str">
        <f t="shared" si="4"/>
        <v>_</v>
      </c>
      <c r="D43" t="s">
        <v>11</v>
      </c>
      <c r="E43" t="str">
        <f t="shared" si="5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54</v>
      </c>
      <c r="B44" t="s">
        <v>202</v>
      </c>
      <c r="C44" t="str">
        <f t="shared" si="4"/>
        <v>_</v>
      </c>
      <c r="D44" t="s">
        <v>11</v>
      </c>
      <c r="E44" t="str">
        <f t="shared" si="5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55</v>
      </c>
      <c r="B45" t="s">
        <v>228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56</v>
      </c>
      <c r="B46" t="s">
        <v>209</v>
      </c>
      <c r="C46" t="str">
        <f t="shared" si="0"/>
        <v>Linguistic Convention</v>
      </c>
      <c r="D46" t="s">
        <v>377</v>
      </c>
      <c r="E46" t="str">
        <f t="shared" si="1"/>
        <v>check</v>
      </c>
      <c r="F46" t="s">
        <v>196</v>
      </c>
      <c r="G46" t="s">
        <v>196</v>
      </c>
      <c r="H46" t="s">
        <v>196</v>
      </c>
      <c r="I46" t="s">
        <v>196</v>
      </c>
      <c r="J46" t="s">
        <v>384</v>
      </c>
    </row>
    <row r="47" spans="1:10" x14ac:dyDescent="0.3">
      <c r="A47" t="s">
        <v>57</v>
      </c>
      <c r="B47" t="s">
        <v>207</v>
      </c>
      <c r="C47" t="str">
        <f t="shared" si="0"/>
        <v>Linguistic Convention</v>
      </c>
      <c r="D47" t="s">
        <v>377</v>
      </c>
      <c r="E47" t="str">
        <f t="shared" si="1"/>
        <v>check</v>
      </c>
      <c r="F47" t="s">
        <v>196</v>
      </c>
      <c r="G47" t="s">
        <v>196</v>
      </c>
      <c r="H47" t="s">
        <v>196</v>
      </c>
      <c r="I47" t="s">
        <v>196</v>
      </c>
      <c r="J47" t="s">
        <v>384</v>
      </c>
    </row>
    <row r="48" spans="1:10" x14ac:dyDescent="0.3">
      <c r="A48" t="s">
        <v>58</v>
      </c>
      <c r="B48" t="s">
        <v>344</v>
      </c>
      <c r="C48" t="str">
        <f t="shared" si="0"/>
        <v>Linguistic Convention</v>
      </c>
      <c r="D48" t="s">
        <v>377</v>
      </c>
      <c r="E48" t="str">
        <f t="shared" si="1"/>
        <v>check</v>
      </c>
      <c r="F48" t="s">
        <v>196</v>
      </c>
      <c r="G48" t="s">
        <v>196</v>
      </c>
      <c r="H48" t="s">
        <v>196</v>
      </c>
      <c r="I48" t="s">
        <v>196</v>
      </c>
      <c r="J48" t="s">
        <v>384</v>
      </c>
    </row>
    <row r="49" spans="1:10" x14ac:dyDescent="0.3">
      <c r="A49" t="s">
        <v>59</v>
      </c>
      <c r="B49" t="s">
        <v>345</v>
      </c>
      <c r="C49" t="str">
        <f t="shared" si="0"/>
        <v>Linguistic Convention</v>
      </c>
      <c r="D49" t="s">
        <v>377</v>
      </c>
      <c r="E49" t="str">
        <f t="shared" si="1"/>
        <v>check</v>
      </c>
      <c r="F49" t="s">
        <v>196</v>
      </c>
      <c r="G49" t="s">
        <v>196</v>
      </c>
      <c r="H49" t="s">
        <v>196</v>
      </c>
      <c r="I49" t="s">
        <v>196</v>
      </c>
      <c r="J49" t="s">
        <v>384</v>
      </c>
    </row>
    <row r="50" spans="1:10" x14ac:dyDescent="0.3">
      <c r="A50" t="s">
        <v>60</v>
      </c>
      <c r="B50" t="s">
        <v>215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61</v>
      </c>
      <c r="B51" t="s">
        <v>216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62</v>
      </c>
      <c r="B52" t="s">
        <v>235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63</v>
      </c>
      <c r="B53" t="s">
        <v>220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64</v>
      </c>
      <c r="B54" t="s">
        <v>229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65</v>
      </c>
      <c r="B55" t="s">
        <v>233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t="s">
        <v>66</v>
      </c>
      <c r="B56" t="s">
        <v>207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67</v>
      </c>
      <c r="B57" t="s">
        <v>234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t="s">
        <v>68</v>
      </c>
      <c r="B58" t="s">
        <v>202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69</v>
      </c>
      <c r="B59" t="s">
        <v>346</v>
      </c>
      <c r="C59" t="str">
        <f t="shared" si="0"/>
        <v>*</v>
      </c>
      <c r="D59" t="s">
        <v>378</v>
      </c>
      <c r="E59" t="str">
        <f t="shared" si="1"/>
        <v>check</v>
      </c>
      <c r="F59" t="s">
        <v>196</v>
      </c>
      <c r="G59" t="s">
        <v>196</v>
      </c>
      <c r="H59" t="s">
        <v>196</v>
      </c>
      <c r="I59" t="s">
        <v>304</v>
      </c>
      <c r="J59" t="s">
        <v>385</v>
      </c>
    </row>
    <row r="60" spans="1:10" x14ac:dyDescent="0.3">
      <c r="A60" t="s">
        <v>70</v>
      </c>
      <c r="B60" t="s">
        <v>220</v>
      </c>
      <c r="C60" t="str">
        <f t="shared" si="0"/>
        <v>*</v>
      </c>
      <c r="D60" t="s">
        <v>378</v>
      </c>
      <c r="E60" t="str">
        <f t="shared" si="1"/>
        <v>check</v>
      </c>
      <c r="F60" t="s">
        <v>196</v>
      </c>
      <c r="G60" t="s">
        <v>196</v>
      </c>
      <c r="H60" t="s">
        <v>196</v>
      </c>
      <c r="I60" t="s">
        <v>304</v>
      </c>
      <c r="J60" t="s">
        <v>385</v>
      </c>
    </row>
    <row r="61" spans="1:10" x14ac:dyDescent="0.3">
      <c r="A61" t="s">
        <v>71</v>
      </c>
      <c r="B61" t="s">
        <v>212</v>
      </c>
      <c r="C61" t="str">
        <f t="shared" si="0"/>
        <v>*</v>
      </c>
      <c r="D61" t="s">
        <v>378</v>
      </c>
      <c r="E61" t="str">
        <f t="shared" si="1"/>
        <v>check</v>
      </c>
      <c r="F61" t="s">
        <v>196</v>
      </c>
      <c r="G61" t="s">
        <v>196</v>
      </c>
      <c r="H61" t="s">
        <v>196</v>
      </c>
      <c r="I61" t="s">
        <v>304</v>
      </c>
      <c r="J61" t="s">
        <v>385</v>
      </c>
    </row>
    <row r="62" spans="1:10" x14ac:dyDescent="0.3">
      <c r="A62" t="s">
        <v>72</v>
      </c>
      <c r="B62" t="s">
        <v>347</v>
      </c>
      <c r="C62" t="str">
        <f t="shared" si="0"/>
        <v>*</v>
      </c>
      <c r="D62" t="s">
        <v>378</v>
      </c>
      <c r="E62" t="str">
        <f t="shared" si="1"/>
        <v>check</v>
      </c>
      <c r="F62" t="s">
        <v>196</v>
      </c>
      <c r="G62" t="s">
        <v>196</v>
      </c>
      <c r="H62" t="s">
        <v>196</v>
      </c>
      <c r="I62" t="s">
        <v>304</v>
      </c>
      <c r="J62" t="s">
        <v>385</v>
      </c>
    </row>
    <row r="63" spans="1:10" x14ac:dyDescent="0.3">
      <c r="A63" t="s">
        <v>73</v>
      </c>
      <c r="B63" t="s">
        <v>209</v>
      </c>
      <c r="C63" t="str">
        <f t="shared" si="0"/>
        <v>*</v>
      </c>
      <c r="D63" t="s">
        <v>378</v>
      </c>
      <c r="E63" t="str">
        <f t="shared" si="1"/>
        <v>check</v>
      </c>
      <c r="F63" t="s">
        <v>196</v>
      </c>
      <c r="G63" t="s">
        <v>196</v>
      </c>
      <c r="H63" t="s">
        <v>196</v>
      </c>
      <c r="I63" t="s">
        <v>304</v>
      </c>
      <c r="J63" t="s">
        <v>385</v>
      </c>
    </row>
    <row r="64" spans="1:10" x14ac:dyDescent="0.3">
      <c r="A64" t="s">
        <v>74</v>
      </c>
      <c r="B64" t="s">
        <v>348</v>
      </c>
      <c r="C64" t="str">
        <f t="shared" si="0"/>
        <v>*</v>
      </c>
      <c r="D64" t="s">
        <v>378</v>
      </c>
      <c r="E64" t="str">
        <f t="shared" si="1"/>
        <v>check</v>
      </c>
      <c r="F64" t="s">
        <v>196</v>
      </c>
      <c r="G64" t="s">
        <v>196</v>
      </c>
      <c r="H64" t="s">
        <v>196</v>
      </c>
      <c r="I64" t="s">
        <v>304</v>
      </c>
      <c r="J64" t="s">
        <v>385</v>
      </c>
    </row>
    <row r="65" spans="1:10" x14ac:dyDescent="0.3">
      <c r="A65" t="s">
        <v>75</v>
      </c>
      <c r="B65" t="s">
        <v>238</v>
      </c>
      <c r="C65" t="str">
        <f t="shared" si="0"/>
        <v>*</v>
      </c>
      <c r="D65" t="s">
        <v>378</v>
      </c>
      <c r="E65" t="str">
        <f t="shared" si="1"/>
        <v>check</v>
      </c>
      <c r="F65" t="s">
        <v>196</v>
      </c>
      <c r="G65" t="s">
        <v>196</v>
      </c>
      <c r="H65" t="s">
        <v>196</v>
      </c>
      <c r="I65" t="s">
        <v>304</v>
      </c>
      <c r="J65" t="s">
        <v>385</v>
      </c>
    </row>
    <row r="66" spans="1:10" x14ac:dyDescent="0.3">
      <c r="A66" t="s">
        <v>322</v>
      </c>
      <c r="B66" t="s">
        <v>215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76</v>
      </c>
      <c r="B67" t="s">
        <v>349</v>
      </c>
      <c r="C67" t="str">
        <f t="shared" ref="C67:C130" si="6">IFERROR(LEFT(D67, FIND("[", D67)-1), D67)</f>
        <v>_</v>
      </c>
      <c r="D67" t="s">
        <v>11</v>
      </c>
      <c r="E67" t="str">
        <f t="shared" ref="E67:E130" si="7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77</v>
      </c>
      <c r="B68" t="s">
        <v>242</v>
      </c>
      <c r="C68" t="str">
        <f t="shared" si="6"/>
        <v>_</v>
      </c>
      <c r="D68" t="s">
        <v>11</v>
      </c>
      <c r="E68" t="str">
        <f t="shared" si="7"/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t="s">
        <v>78</v>
      </c>
      <c r="B69" t="s">
        <v>217</v>
      </c>
      <c r="C69" t="str">
        <f t="shared" si="6"/>
        <v>_</v>
      </c>
      <c r="D69" t="s">
        <v>11</v>
      </c>
      <c r="E69" t="str">
        <f t="shared" si="7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79</v>
      </c>
      <c r="B70" t="s">
        <v>241</v>
      </c>
      <c r="C70" t="str">
        <f t="shared" si="6"/>
        <v>_</v>
      </c>
      <c r="D70" t="s">
        <v>11</v>
      </c>
      <c r="E70" t="str">
        <f t="shared" si="7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80</v>
      </c>
      <c r="B71" t="s">
        <v>350</v>
      </c>
      <c r="C71" t="str">
        <f t="shared" si="6"/>
        <v>_</v>
      </c>
      <c r="D71" t="s">
        <v>11</v>
      </c>
      <c r="E71" t="str">
        <f t="shared" si="7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81</v>
      </c>
      <c r="B72" t="s">
        <v>220</v>
      </c>
      <c r="C72" t="str">
        <f t="shared" si="6"/>
        <v>_</v>
      </c>
      <c r="D72" t="s">
        <v>11</v>
      </c>
      <c r="E72" t="str">
        <f t="shared" si="7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82</v>
      </c>
      <c r="B73" t="s">
        <v>229</v>
      </c>
      <c r="C73" t="str">
        <f t="shared" si="6"/>
        <v>_</v>
      </c>
      <c r="D73" t="s">
        <v>11</v>
      </c>
      <c r="E73" t="str">
        <f t="shared" si="7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83</v>
      </c>
      <c r="B74" t="s">
        <v>202</v>
      </c>
      <c r="C74" t="str">
        <f t="shared" si="6"/>
        <v>_</v>
      </c>
      <c r="D74" t="s">
        <v>11</v>
      </c>
      <c r="E74" t="str">
        <f t="shared" si="7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84</v>
      </c>
      <c r="B75" t="s">
        <v>245</v>
      </c>
      <c r="C75" t="str">
        <f t="shared" si="6"/>
        <v>_</v>
      </c>
      <c r="D75" t="s">
        <v>11</v>
      </c>
      <c r="E75" t="str">
        <f t="shared" si="7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85</v>
      </c>
      <c r="B76" t="s">
        <v>204</v>
      </c>
      <c r="C76" t="str">
        <f t="shared" si="6"/>
        <v>_</v>
      </c>
      <c r="D76" t="s">
        <v>11</v>
      </c>
      <c r="E76" t="str">
        <f t="shared" si="7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86</v>
      </c>
      <c r="B77" t="s">
        <v>245</v>
      </c>
      <c r="C77" t="str">
        <f t="shared" si="6"/>
        <v>_</v>
      </c>
      <c r="D77" t="s">
        <v>11</v>
      </c>
      <c r="E77" t="str">
        <f t="shared" si="7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87</v>
      </c>
      <c r="B78" t="s">
        <v>204</v>
      </c>
      <c r="C78" t="str">
        <f t="shared" si="6"/>
        <v>_</v>
      </c>
      <c r="D78" t="s">
        <v>11</v>
      </c>
      <c r="E78" t="str">
        <f t="shared" si="7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88</v>
      </c>
      <c r="B79" t="s">
        <v>202</v>
      </c>
      <c r="C79" t="str">
        <f t="shared" si="6"/>
        <v>_</v>
      </c>
      <c r="D79" t="s">
        <v>11</v>
      </c>
      <c r="E79" t="str">
        <f t="shared" si="7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89</v>
      </c>
      <c r="B80" t="s">
        <v>246</v>
      </c>
      <c r="C80" t="str">
        <f t="shared" si="6"/>
        <v>_</v>
      </c>
      <c r="D80" t="s">
        <v>11</v>
      </c>
      <c r="E80" t="str">
        <f t="shared" si="7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90</v>
      </c>
      <c r="B81" t="s">
        <v>351</v>
      </c>
      <c r="C81" t="str">
        <f t="shared" si="6"/>
        <v>_</v>
      </c>
      <c r="D81" t="s">
        <v>11</v>
      </c>
      <c r="E81" t="str">
        <f t="shared" si="7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91</v>
      </c>
      <c r="B82" t="s">
        <v>248</v>
      </c>
      <c r="C82" t="str">
        <f t="shared" si="6"/>
        <v>_</v>
      </c>
      <c r="D82" t="s">
        <v>11</v>
      </c>
      <c r="E82" t="str">
        <f t="shared" si="7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92</v>
      </c>
      <c r="B83" t="s">
        <v>249</v>
      </c>
      <c r="C83" t="str">
        <f t="shared" si="6"/>
        <v>_</v>
      </c>
      <c r="D83" t="s">
        <v>11</v>
      </c>
      <c r="E83" t="str">
        <f t="shared" si="7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93</v>
      </c>
      <c r="B84" t="s">
        <v>250</v>
      </c>
      <c r="C84" t="str">
        <f t="shared" si="6"/>
        <v>_</v>
      </c>
      <c r="D84" t="s">
        <v>11</v>
      </c>
      <c r="E84" t="str">
        <f t="shared" si="7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94</v>
      </c>
      <c r="B85" t="s">
        <v>220</v>
      </c>
      <c r="C85" t="str">
        <f t="shared" si="6"/>
        <v>_</v>
      </c>
      <c r="D85" t="s">
        <v>11</v>
      </c>
      <c r="E85" t="str">
        <f t="shared" si="7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95</v>
      </c>
      <c r="B86" t="s">
        <v>251</v>
      </c>
      <c r="C86" t="str">
        <f t="shared" si="6"/>
        <v>_</v>
      </c>
      <c r="D86" t="s">
        <v>11</v>
      </c>
      <c r="E86" t="str">
        <f t="shared" si="7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96</v>
      </c>
      <c r="B87" t="s">
        <v>352</v>
      </c>
      <c r="C87" t="str">
        <f t="shared" si="6"/>
        <v>_</v>
      </c>
      <c r="D87" t="s">
        <v>11</v>
      </c>
      <c r="E87" t="str">
        <f t="shared" si="7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97</v>
      </c>
      <c r="B88" t="s">
        <v>353</v>
      </c>
      <c r="C88" t="str">
        <f t="shared" si="6"/>
        <v>_</v>
      </c>
      <c r="D88" t="s">
        <v>11</v>
      </c>
      <c r="E88" t="str">
        <f t="shared" si="7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98</v>
      </c>
      <c r="B89" t="s">
        <v>354</v>
      </c>
      <c r="C89" t="str">
        <f t="shared" si="6"/>
        <v>_</v>
      </c>
      <c r="D89" t="s">
        <v>11</v>
      </c>
      <c r="E89" t="str">
        <f t="shared" si="7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99</v>
      </c>
      <c r="B90" t="s">
        <v>285</v>
      </c>
      <c r="C90" t="str">
        <f t="shared" si="6"/>
        <v>_</v>
      </c>
      <c r="D90" t="s">
        <v>11</v>
      </c>
      <c r="E90" t="str">
        <f t="shared" si="7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100</v>
      </c>
      <c r="B91" t="s">
        <v>255</v>
      </c>
      <c r="C91" t="str">
        <f t="shared" si="6"/>
        <v>_</v>
      </c>
      <c r="D91" t="s">
        <v>11</v>
      </c>
      <c r="E91" t="str">
        <f t="shared" si="7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101</v>
      </c>
      <c r="B92" t="s">
        <v>256</v>
      </c>
      <c r="C92" t="str">
        <f t="shared" si="6"/>
        <v>_</v>
      </c>
      <c r="D92" t="s">
        <v>11</v>
      </c>
      <c r="E92" t="str">
        <f t="shared" si="7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102</v>
      </c>
      <c r="B93" t="s">
        <v>202</v>
      </c>
      <c r="C93" t="str">
        <f t="shared" si="6"/>
        <v>_</v>
      </c>
      <c r="D93" t="s">
        <v>11</v>
      </c>
      <c r="E93" t="str">
        <f t="shared" si="7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103</v>
      </c>
      <c r="B94" t="s">
        <v>244</v>
      </c>
      <c r="C94" t="str">
        <f t="shared" si="6"/>
        <v>_</v>
      </c>
      <c r="D94" t="s">
        <v>11</v>
      </c>
      <c r="E94" t="str">
        <f t="shared" si="7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104</v>
      </c>
      <c r="B95" t="s">
        <v>258</v>
      </c>
      <c r="C95" t="str">
        <f t="shared" si="6"/>
        <v>_</v>
      </c>
      <c r="D95" t="s">
        <v>11</v>
      </c>
      <c r="E95" t="str">
        <f t="shared" si="7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105</v>
      </c>
      <c r="B96" t="s">
        <v>202</v>
      </c>
      <c r="C96" t="str">
        <f t="shared" si="6"/>
        <v>_</v>
      </c>
      <c r="D96" t="s">
        <v>11</v>
      </c>
      <c r="E96" t="str">
        <f t="shared" si="7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106</v>
      </c>
      <c r="B97" t="s">
        <v>355</v>
      </c>
      <c r="C97" t="str">
        <f t="shared" si="6"/>
        <v>_</v>
      </c>
      <c r="D97" t="s">
        <v>11</v>
      </c>
      <c r="E97" t="str">
        <f t="shared" si="7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107</v>
      </c>
      <c r="B98" t="s">
        <v>212</v>
      </c>
      <c r="C98" t="str">
        <f t="shared" si="6"/>
        <v>_</v>
      </c>
      <c r="D98" t="s">
        <v>11</v>
      </c>
      <c r="E98" t="str">
        <f t="shared" si="7"/>
        <v>_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3">
      <c r="A99" t="s">
        <v>108</v>
      </c>
      <c r="B99" t="s">
        <v>220</v>
      </c>
      <c r="C99" t="str">
        <f t="shared" si="6"/>
        <v>_</v>
      </c>
      <c r="D99" t="s">
        <v>11</v>
      </c>
      <c r="E99" t="str">
        <f t="shared" si="7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109</v>
      </c>
      <c r="B100" t="s">
        <v>259</v>
      </c>
      <c r="C100" t="str">
        <f t="shared" si="6"/>
        <v>_</v>
      </c>
      <c r="D100" t="s">
        <v>11</v>
      </c>
      <c r="E100" t="str">
        <f t="shared" si="7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110</v>
      </c>
      <c r="B101" t="s">
        <v>215</v>
      </c>
      <c r="C101" t="str">
        <f t="shared" si="6"/>
        <v>_</v>
      </c>
      <c r="D101" t="s">
        <v>11</v>
      </c>
      <c r="E101" t="str">
        <f t="shared" si="7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111</v>
      </c>
      <c r="B102" t="s">
        <v>265</v>
      </c>
      <c r="C102" t="str">
        <f t="shared" si="6"/>
        <v>_</v>
      </c>
      <c r="D102" t="s">
        <v>11</v>
      </c>
      <c r="E102" t="str">
        <f t="shared" si="7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112</v>
      </c>
      <c r="B103" t="s">
        <v>356</v>
      </c>
      <c r="C103" t="str">
        <f t="shared" si="6"/>
        <v>_</v>
      </c>
      <c r="D103" t="s">
        <v>11</v>
      </c>
      <c r="E103" t="str">
        <f t="shared" si="7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113</v>
      </c>
      <c r="B104" t="s">
        <v>207</v>
      </c>
      <c r="C104" t="str">
        <f t="shared" si="6"/>
        <v>_</v>
      </c>
      <c r="D104" t="s">
        <v>11</v>
      </c>
      <c r="E104" t="str">
        <f t="shared" si="7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114</v>
      </c>
      <c r="B105" t="s">
        <v>261</v>
      </c>
      <c r="C105" t="str">
        <f t="shared" si="6"/>
        <v>_</v>
      </c>
      <c r="D105" t="s">
        <v>11</v>
      </c>
      <c r="E105" t="str">
        <f t="shared" si="7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115</v>
      </c>
      <c r="B106" t="s">
        <v>202</v>
      </c>
      <c r="C106" t="str">
        <f t="shared" si="6"/>
        <v>_</v>
      </c>
      <c r="D106" t="s">
        <v>11</v>
      </c>
      <c r="E106" t="str">
        <f t="shared" si="7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116</v>
      </c>
      <c r="B107" t="s">
        <v>213</v>
      </c>
      <c r="C107" t="str">
        <f t="shared" si="6"/>
        <v>_</v>
      </c>
      <c r="D107" t="s">
        <v>11</v>
      </c>
      <c r="E107" t="str">
        <f t="shared" si="7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117</v>
      </c>
      <c r="B108" t="s">
        <v>263</v>
      </c>
      <c r="C108" t="str">
        <f t="shared" si="6"/>
        <v>_</v>
      </c>
      <c r="D108" t="s">
        <v>11</v>
      </c>
      <c r="E108" t="str">
        <f t="shared" si="7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118</v>
      </c>
      <c r="B109" t="s">
        <v>212</v>
      </c>
      <c r="C109" t="str">
        <f t="shared" si="6"/>
        <v>_</v>
      </c>
      <c r="D109" t="s">
        <v>11</v>
      </c>
      <c r="E109" t="str">
        <f t="shared" si="7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119</v>
      </c>
      <c r="B110" t="s">
        <v>220</v>
      </c>
      <c r="C110" t="str">
        <f t="shared" si="6"/>
        <v>_</v>
      </c>
      <c r="D110" t="s">
        <v>11</v>
      </c>
      <c r="E110" t="str">
        <f t="shared" si="7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120</v>
      </c>
      <c r="B111" t="s">
        <v>229</v>
      </c>
      <c r="C111" t="str">
        <f t="shared" si="6"/>
        <v>_</v>
      </c>
      <c r="D111" t="s">
        <v>11</v>
      </c>
      <c r="E111" t="str">
        <f t="shared" si="7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121</v>
      </c>
      <c r="B112" t="s">
        <v>357</v>
      </c>
      <c r="C112" t="str">
        <f t="shared" si="6"/>
        <v>_</v>
      </c>
      <c r="D112" t="s">
        <v>11</v>
      </c>
      <c r="E112" t="str">
        <f t="shared" si="7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122</v>
      </c>
      <c r="B113" t="s">
        <v>358</v>
      </c>
      <c r="C113" t="str">
        <f t="shared" si="6"/>
        <v>Accuracy</v>
      </c>
      <c r="D113" t="s">
        <v>376</v>
      </c>
      <c r="E113" t="str">
        <f t="shared" si="7"/>
        <v>check</v>
      </c>
      <c r="F113" t="s">
        <v>196</v>
      </c>
      <c r="G113" t="s">
        <v>196</v>
      </c>
      <c r="H113" t="s">
        <v>196</v>
      </c>
      <c r="I113" t="s">
        <v>306</v>
      </c>
      <c r="J113" t="s">
        <v>386</v>
      </c>
    </row>
    <row r="114" spans="1:10" x14ac:dyDescent="0.3">
      <c r="A114" t="s">
        <v>123</v>
      </c>
      <c r="B114" t="s">
        <v>215</v>
      </c>
      <c r="C114" t="str">
        <f t="shared" si="6"/>
        <v>_</v>
      </c>
      <c r="D114" t="s">
        <v>11</v>
      </c>
      <c r="E114" t="str">
        <f t="shared" si="7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124</v>
      </c>
      <c r="B115" t="s">
        <v>265</v>
      </c>
      <c r="C115" t="str">
        <f t="shared" si="6"/>
        <v>_</v>
      </c>
      <c r="D115" t="s">
        <v>11</v>
      </c>
      <c r="E115" t="str">
        <f t="shared" si="7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125</v>
      </c>
      <c r="B116" t="s">
        <v>266</v>
      </c>
      <c r="C116" t="str">
        <f t="shared" si="6"/>
        <v>_</v>
      </c>
      <c r="D116" t="s">
        <v>11</v>
      </c>
      <c r="E116" t="str">
        <f t="shared" si="7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126</v>
      </c>
      <c r="B117" t="s">
        <v>222</v>
      </c>
      <c r="C117" t="str">
        <f t="shared" si="6"/>
        <v>_</v>
      </c>
      <c r="D117" t="s">
        <v>11</v>
      </c>
      <c r="E117" t="str">
        <f t="shared" si="7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127</v>
      </c>
      <c r="B118" t="s">
        <v>359</v>
      </c>
      <c r="C118" t="str">
        <f t="shared" si="6"/>
        <v>_</v>
      </c>
      <c r="D118" t="s">
        <v>11</v>
      </c>
      <c r="E118" t="str">
        <f t="shared" si="7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128</v>
      </c>
      <c r="B119" t="s">
        <v>202</v>
      </c>
      <c r="C119" t="str">
        <f t="shared" si="6"/>
        <v>_</v>
      </c>
      <c r="D119" t="s">
        <v>11</v>
      </c>
      <c r="E119" t="str">
        <f t="shared" si="7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129</v>
      </c>
      <c r="B120" t="s">
        <v>268</v>
      </c>
      <c r="C120" t="str">
        <f t="shared" si="6"/>
        <v>_</v>
      </c>
      <c r="D120" t="s">
        <v>11</v>
      </c>
      <c r="E120" t="str">
        <f t="shared" si="7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130</v>
      </c>
      <c r="B121" t="s">
        <v>204</v>
      </c>
      <c r="C121" t="str">
        <f t="shared" si="6"/>
        <v>_</v>
      </c>
      <c r="D121" t="s">
        <v>11</v>
      </c>
      <c r="E121" t="str">
        <f t="shared" si="7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131</v>
      </c>
      <c r="B122" t="s">
        <v>202</v>
      </c>
      <c r="C122" t="str">
        <f t="shared" si="6"/>
        <v>_</v>
      </c>
      <c r="D122" t="s">
        <v>11</v>
      </c>
      <c r="E122" t="str">
        <f t="shared" si="7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132</v>
      </c>
      <c r="B123" t="s">
        <v>269</v>
      </c>
      <c r="C123" t="str">
        <f t="shared" si="6"/>
        <v>_</v>
      </c>
      <c r="D123" t="s">
        <v>11</v>
      </c>
      <c r="E123" t="str">
        <f t="shared" si="7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t="s">
        <v>133</v>
      </c>
      <c r="B124" t="s">
        <v>220</v>
      </c>
      <c r="C124" t="str">
        <f t="shared" si="6"/>
        <v>_</v>
      </c>
      <c r="D124" t="s">
        <v>11</v>
      </c>
      <c r="E124" t="str">
        <f t="shared" si="7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134</v>
      </c>
      <c r="B125" t="s">
        <v>226</v>
      </c>
      <c r="C125" t="str">
        <f t="shared" si="6"/>
        <v>_</v>
      </c>
      <c r="D125" t="s">
        <v>11</v>
      </c>
      <c r="E125" t="str">
        <f t="shared" si="7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135</v>
      </c>
      <c r="B126" t="s">
        <v>229</v>
      </c>
      <c r="C126" t="str">
        <f t="shared" si="6"/>
        <v>_</v>
      </c>
      <c r="D126" t="s">
        <v>11</v>
      </c>
      <c r="E126" t="str">
        <f t="shared" si="7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136</v>
      </c>
      <c r="B127" t="s">
        <v>204</v>
      </c>
      <c r="C127" t="str">
        <f t="shared" si="6"/>
        <v>_</v>
      </c>
      <c r="D127" t="s">
        <v>11</v>
      </c>
      <c r="E127" t="str">
        <f t="shared" si="7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137</v>
      </c>
      <c r="B128" t="s">
        <v>220</v>
      </c>
      <c r="C128" t="str">
        <f t="shared" si="6"/>
        <v>_</v>
      </c>
      <c r="D128" t="s">
        <v>11</v>
      </c>
      <c r="E128" t="str">
        <f t="shared" si="7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138</v>
      </c>
      <c r="B129" t="s">
        <v>219</v>
      </c>
      <c r="C129" t="str">
        <f t="shared" si="6"/>
        <v>_</v>
      </c>
      <c r="D129" t="s">
        <v>11</v>
      </c>
      <c r="E129" t="str">
        <f t="shared" si="7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139</v>
      </c>
      <c r="B130" t="s">
        <v>213</v>
      </c>
      <c r="C130" t="str">
        <f t="shared" si="6"/>
        <v>_</v>
      </c>
      <c r="D130" t="s">
        <v>11</v>
      </c>
      <c r="E130" t="str">
        <f t="shared" si="7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140</v>
      </c>
      <c r="B131" t="s">
        <v>243</v>
      </c>
      <c r="C131" t="str">
        <f t="shared" ref="C131:C194" si="8">IFERROR(LEFT(D131, FIND("[", D131)-1), D131)</f>
        <v>_</v>
      </c>
      <c r="D131" t="s">
        <v>11</v>
      </c>
      <c r="E131" t="str">
        <f t="shared" ref="E131:E194" si="9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141</v>
      </c>
      <c r="B132" t="s">
        <v>360</v>
      </c>
      <c r="C132" t="str">
        <f t="shared" si="8"/>
        <v>_</v>
      </c>
      <c r="D132" t="s">
        <v>11</v>
      </c>
      <c r="E132" t="str">
        <f t="shared" si="9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142</v>
      </c>
      <c r="B133" t="s">
        <v>361</v>
      </c>
      <c r="C133" t="str">
        <f t="shared" si="8"/>
        <v>_</v>
      </c>
      <c r="D133" t="s">
        <v>11</v>
      </c>
      <c r="E133" t="str">
        <f t="shared" si="9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t="s">
        <v>143</v>
      </c>
      <c r="B134" t="s">
        <v>204</v>
      </c>
      <c r="C134" t="str">
        <f t="shared" si="8"/>
        <v>_</v>
      </c>
      <c r="D134" t="s">
        <v>11</v>
      </c>
      <c r="E134" t="str">
        <f t="shared" si="9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144</v>
      </c>
      <c r="B135" t="s">
        <v>250</v>
      </c>
      <c r="C135" t="str">
        <f t="shared" si="8"/>
        <v>_</v>
      </c>
      <c r="D135" t="s">
        <v>11</v>
      </c>
      <c r="E135" t="str">
        <f t="shared" si="9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145</v>
      </c>
      <c r="B136" t="s">
        <v>272</v>
      </c>
      <c r="C136" t="str">
        <f t="shared" si="8"/>
        <v>_</v>
      </c>
      <c r="D136" t="s">
        <v>11</v>
      </c>
      <c r="E136" t="str">
        <f t="shared" si="9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146</v>
      </c>
      <c r="B137" t="s">
        <v>362</v>
      </c>
      <c r="C137" t="str">
        <f t="shared" si="8"/>
        <v>_</v>
      </c>
      <c r="D137" t="s">
        <v>11</v>
      </c>
      <c r="E137" t="str">
        <f t="shared" si="9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147</v>
      </c>
      <c r="B138" t="s">
        <v>273</v>
      </c>
      <c r="C138" t="str">
        <f t="shared" si="8"/>
        <v>_</v>
      </c>
      <c r="D138" t="s">
        <v>11</v>
      </c>
      <c r="E138" t="str">
        <f t="shared" si="9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148</v>
      </c>
      <c r="B139" t="s">
        <v>215</v>
      </c>
      <c r="C139" t="str">
        <f t="shared" si="8"/>
        <v>_</v>
      </c>
      <c r="D139" t="s">
        <v>11</v>
      </c>
      <c r="E139" t="str">
        <f t="shared" si="9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149</v>
      </c>
      <c r="B140" t="s">
        <v>198</v>
      </c>
      <c r="C140" t="str">
        <f t="shared" si="8"/>
        <v>_</v>
      </c>
      <c r="D140" t="s">
        <v>11</v>
      </c>
      <c r="E140" t="str">
        <f t="shared" si="9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150</v>
      </c>
      <c r="B141" t="s">
        <v>199</v>
      </c>
      <c r="C141" t="str">
        <f t="shared" si="8"/>
        <v>_</v>
      </c>
      <c r="D141" t="s">
        <v>11</v>
      </c>
      <c r="E141" t="str">
        <f t="shared" si="9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151</v>
      </c>
      <c r="B142" t="s">
        <v>200</v>
      </c>
      <c r="C142" t="str">
        <f t="shared" si="8"/>
        <v>_</v>
      </c>
      <c r="D142" t="s">
        <v>11</v>
      </c>
      <c r="E142" t="str">
        <f t="shared" si="9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152</v>
      </c>
      <c r="B143" t="s">
        <v>274</v>
      </c>
      <c r="C143" t="str">
        <f t="shared" si="8"/>
        <v>_</v>
      </c>
      <c r="D143" t="s">
        <v>11</v>
      </c>
      <c r="E143" t="str">
        <f t="shared" si="9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153</v>
      </c>
      <c r="B144" t="s">
        <v>279</v>
      </c>
      <c r="C144" t="str">
        <f t="shared" si="8"/>
        <v>Style</v>
      </c>
      <c r="D144" t="s">
        <v>379</v>
      </c>
      <c r="E144" t="str">
        <f t="shared" si="9"/>
        <v>Awkward style</v>
      </c>
      <c r="F144" t="s">
        <v>196</v>
      </c>
      <c r="G144" t="s">
        <v>196</v>
      </c>
      <c r="H144" t="s">
        <v>381</v>
      </c>
      <c r="I144" t="s">
        <v>196</v>
      </c>
      <c r="J144" t="s">
        <v>387</v>
      </c>
    </row>
    <row r="145" spans="1:10" x14ac:dyDescent="0.3">
      <c r="A145" t="s">
        <v>154</v>
      </c>
      <c r="B145" t="s">
        <v>348</v>
      </c>
      <c r="C145" t="str">
        <f t="shared" si="8"/>
        <v>Style</v>
      </c>
      <c r="D145" t="s">
        <v>379</v>
      </c>
      <c r="E145" t="str">
        <f t="shared" si="9"/>
        <v>Awkward style</v>
      </c>
      <c r="F145" t="s">
        <v>196</v>
      </c>
      <c r="G145" t="s">
        <v>196</v>
      </c>
      <c r="H145" t="s">
        <v>381</v>
      </c>
      <c r="I145" t="s">
        <v>196</v>
      </c>
      <c r="J145" t="s">
        <v>387</v>
      </c>
    </row>
    <row r="146" spans="1:10" x14ac:dyDescent="0.3">
      <c r="A146" t="s">
        <v>155</v>
      </c>
      <c r="B146" t="s">
        <v>363</v>
      </c>
      <c r="C146" t="str">
        <f t="shared" si="8"/>
        <v>Style</v>
      </c>
      <c r="D146" t="s">
        <v>379</v>
      </c>
      <c r="E146" t="str">
        <f t="shared" si="9"/>
        <v>Awkward style</v>
      </c>
      <c r="F146" t="s">
        <v>196</v>
      </c>
      <c r="G146" t="s">
        <v>196</v>
      </c>
      <c r="H146" t="s">
        <v>381</v>
      </c>
      <c r="I146" t="s">
        <v>196</v>
      </c>
      <c r="J146" t="s">
        <v>387</v>
      </c>
    </row>
    <row r="147" spans="1:10" x14ac:dyDescent="0.3">
      <c r="A147" t="s">
        <v>156</v>
      </c>
      <c r="B147" t="s">
        <v>279</v>
      </c>
      <c r="C147" t="str">
        <f t="shared" si="8"/>
        <v>Style</v>
      </c>
      <c r="D147" t="s">
        <v>379</v>
      </c>
      <c r="E147" t="str">
        <f t="shared" si="9"/>
        <v>Awkward style</v>
      </c>
      <c r="F147" t="s">
        <v>196</v>
      </c>
      <c r="G147" t="s">
        <v>196</v>
      </c>
      <c r="H147" t="s">
        <v>381</v>
      </c>
      <c r="I147" t="s">
        <v>196</v>
      </c>
      <c r="J147" t="s">
        <v>387</v>
      </c>
    </row>
    <row r="148" spans="1:10" x14ac:dyDescent="0.3">
      <c r="A148" t="s">
        <v>157</v>
      </c>
      <c r="B148" t="s">
        <v>364</v>
      </c>
      <c r="C148" t="str">
        <f t="shared" si="8"/>
        <v>Style</v>
      </c>
      <c r="D148" t="s">
        <v>379</v>
      </c>
      <c r="E148" t="str">
        <f t="shared" si="9"/>
        <v>Awkward style</v>
      </c>
      <c r="F148" t="s">
        <v>196</v>
      </c>
      <c r="G148" t="s">
        <v>196</v>
      </c>
      <c r="H148" t="s">
        <v>381</v>
      </c>
      <c r="I148" t="s">
        <v>196</v>
      </c>
      <c r="J148" t="s">
        <v>387</v>
      </c>
    </row>
    <row r="149" spans="1:10" x14ac:dyDescent="0.3">
      <c r="A149" t="s">
        <v>158</v>
      </c>
      <c r="B149" t="s">
        <v>204</v>
      </c>
      <c r="C149" t="str">
        <f t="shared" si="8"/>
        <v>_</v>
      </c>
      <c r="D149" t="s">
        <v>11</v>
      </c>
      <c r="E149" t="str">
        <f t="shared" si="9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159</v>
      </c>
      <c r="B150" t="s">
        <v>220</v>
      </c>
      <c r="C150" t="str">
        <f t="shared" si="8"/>
        <v>_</v>
      </c>
      <c r="D150" t="s">
        <v>11</v>
      </c>
      <c r="E150" t="str">
        <f t="shared" si="9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160</v>
      </c>
      <c r="B151" t="s">
        <v>276</v>
      </c>
      <c r="C151" t="str">
        <f t="shared" si="8"/>
        <v>_</v>
      </c>
      <c r="D151" t="s">
        <v>11</v>
      </c>
      <c r="E151" t="str">
        <f t="shared" si="9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161</v>
      </c>
      <c r="B152" t="s">
        <v>229</v>
      </c>
      <c r="C152" t="str">
        <f t="shared" si="8"/>
        <v>_</v>
      </c>
      <c r="D152" t="s">
        <v>11</v>
      </c>
      <c r="E152" t="str">
        <f t="shared" si="9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162</v>
      </c>
      <c r="B153" t="s">
        <v>365</v>
      </c>
      <c r="C153" t="str">
        <f t="shared" ref="C153:C157" si="10">IFERROR(LEFT(D153, FIND("[", D153)-1), D153)</f>
        <v>_</v>
      </c>
      <c r="D153" t="s">
        <v>11</v>
      </c>
      <c r="E153" t="str">
        <f t="shared" ref="E153:E157" si="11">IF(F153="", "", IF(F153="*",IF(G153="*", IF(H153="*", "check", H153), G153), F153))</f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163</v>
      </c>
      <c r="B154" t="s">
        <v>272</v>
      </c>
      <c r="C154" t="str">
        <f t="shared" si="10"/>
        <v>_</v>
      </c>
      <c r="D154" t="s">
        <v>11</v>
      </c>
      <c r="E154" t="str">
        <f t="shared" si="11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164</v>
      </c>
      <c r="B155" t="s">
        <v>366</v>
      </c>
      <c r="C155" t="str">
        <f t="shared" si="10"/>
        <v>_</v>
      </c>
      <c r="D155" t="s">
        <v>11</v>
      </c>
      <c r="E155" t="str">
        <f t="shared" si="11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165</v>
      </c>
      <c r="B156" t="s">
        <v>367</v>
      </c>
      <c r="C156" t="str">
        <f t="shared" si="10"/>
        <v>_</v>
      </c>
      <c r="D156" t="s">
        <v>11</v>
      </c>
      <c r="E156" t="str">
        <f t="shared" si="11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166</v>
      </c>
      <c r="B157" t="s">
        <v>213</v>
      </c>
      <c r="C157" t="str">
        <f t="shared" si="10"/>
        <v>_</v>
      </c>
      <c r="D157" t="s">
        <v>11</v>
      </c>
      <c r="E157" t="str">
        <f t="shared" si="11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167</v>
      </c>
      <c r="B158" t="s">
        <v>279</v>
      </c>
      <c r="C158" t="str">
        <f t="shared" si="8"/>
        <v>_</v>
      </c>
      <c r="D158" t="s">
        <v>11</v>
      </c>
      <c r="E158" t="str">
        <f t="shared" si="9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168</v>
      </c>
      <c r="B159" t="s">
        <v>368</v>
      </c>
      <c r="C159" t="str">
        <f t="shared" si="8"/>
        <v>_</v>
      </c>
      <c r="D159" t="s">
        <v>11</v>
      </c>
      <c r="E159" t="str">
        <f t="shared" si="9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169</v>
      </c>
      <c r="B160" t="s">
        <v>199</v>
      </c>
      <c r="C160" t="str">
        <f t="shared" si="8"/>
        <v>_</v>
      </c>
      <c r="D160" t="s">
        <v>11</v>
      </c>
      <c r="E160" t="str">
        <f t="shared" si="9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170</v>
      </c>
      <c r="B161" t="s">
        <v>215</v>
      </c>
      <c r="C161" t="str">
        <f t="shared" si="8"/>
        <v>_</v>
      </c>
      <c r="D161" t="s">
        <v>11</v>
      </c>
      <c r="E161" t="str">
        <f t="shared" si="9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171</v>
      </c>
      <c r="B162" t="s">
        <v>265</v>
      </c>
      <c r="C162" t="str">
        <f t="shared" ref="C162:C169" si="12">IFERROR(LEFT(D162, FIND("[", D162)-1), D162)</f>
        <v>_</v>
      </c>
      <c r="D162" t="s">
        <v>11</v>
      </c>
      <c r="E162" t="str">
        <f t="shared" ref="E162:E169" si="13">IF(F162="", "", IF(F162="*",IF(G162="*", IF(H162="*", "check", H162), G162), F162))</f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172</v>
      </c>
      <c r="B163" t="s">
        <v>281</v>
      </c>
      <c r="C163" t="str">
        <f t="shared" si="12"/>
        <v>_</v>
      </c>
      <c r="D163" t="s">
        <v>11</v>
      </c>
      <c r="E163" t="str">
        <f t="shared" si="13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173</v>
      </c>
      <c r="B164" t="s">
        <v>282</v>
      </c>
      <c r="C164" t="str">
        <f t="shared" si="12"/>
        <v>_</v>
      </c>
      <c r="D164" t="s">
        <v>11</v>
      </c>
      <c r="E164" t="str">
        <f t="shared" si="13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174</v>
      </c>
      <c r="B165" t="s">
        <v>369</v>
      </c>
      <c r="C165" t="str">
        <f t="shared" si="12"/>
        <v>_</v>
      </c>
      <c r="D165" t="s">
        <v>11</v>
      </c>
      <c r="E165" t="str">
        <f t="shared" si="13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175</v>
      </c>
      <c r="B166" t="s">
        <v>370</v>
      </c>
      <c r="C166" t="str">
        <f t="shared" si="12"/>
        <v>_</v>
      </c>
      <c r="D166" t="s">
        <v>11</v>
      </c>
      <c r="E166" t="str">
        <f t="shared" si="13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176</v>
      </c>
      <c r="B167" t="s">
        <v>371</v>
      </c>
      <c r="C167" t="str">
        <f t="shared" si="12"/>
        <v>_</v>
      </c>
      <c r="D167" t="s">
        <v>11</v>
      </c>
      <c r="E167" t="str">
        <f t="shared" si="13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177</v>
      </c>
      <c r="B168" t="s">
        <v>241</v>
      </c>
      <c r="C168" t="str">
        <f t="shared" si="12"/>
        <v>_</v>
      </c>
      <c r="D168" t="s">
        <v>11</v>
      </c>
      <c r="E168" t="str">
        <f t="shared" si="13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t="s">
        <v>178</v>
      </c>
      <c r="B169" t="s">
        <v>202</v>
      </c>
      <c r="C169" t="str">
        <f t="shared" si="12"/>
        <v>_</v>
      </c>
      <c r="D169" t="s">
        <v>11</v>
      </c>
      <c r="E169" t="str">
        <f t="shared" si="13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t="s">
        <v>179</v>
      </c>
      <c r="B170" t="s">
        <v>284</v>
      </c>
      <c r="C170" t="str">
        <f t="shared" si="8"/>
        <v>_</v>
      </c>
      <c r="D170" t="s">
        <v>11</v>
      </c>
      <c r="E170" t="str">
        <f t="shared" si="9"/>
        <v>_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3">
      <c r="A171" t="s">
        <v>180</v>
      </c>
      <c r="B171" t="s">
        <v>285</v>
      </c>
      <c r="C171" t="str">
        <f t="shared" si="8"/>
        <v>_</v>
      </c>
      <c r="D171" t="s">
        <v>11</v>
      </c>
      <c r="E171" t="str">
        <f t="shared" si="9"/>
        <v>_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3">
      <c r="A172" t="s">
        <v>181</v>
      </c>
      <c r="B172" t="s">
        <v>220</v>
      </c>
      <c r="C172" t="str">
        <f t="shared" si="8"/>
        <v>_</v>
      </c>
      <c r="D172" t="s">
        <v>11</v>
      </c>
      <c r="E172" t="str">
        <f t="shared" si="9"/>
        <v>_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</row>
    <row r="173" spans="1:10" x14ac:dyDescent="0.3">
      <c r="A173" t="s">
        <v>182</v>
      </c>
      <c r="B173" t="s">
        <v>229</v>
      </c>
      <c r="C173" t="str">
        <f t="shared" si="8"/>
        <v>_</v>
      </c>
      <c r="D173" t="s">
        <v>11</v>
      </c>
      <c r="E173" t="str">
        <f t="shared" si="9"/>
        <v>_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</row>
    <row r="174" spans="1:10" x14ac:dyDescent="0.3">
      <c r="A174" t="s">
        <v>183</v>
      </c>
      <c r="B174" t="s">
        <v>202</v>
      </c>
      <c r="C174" t="str">
        <f t="shared" si="8"/>
        <v>_</v>
      </c>
      <c r="D174" t="s">
        <v>11</v>
      </c>
      <c r="E174" t="str">
        <f t="shared" si="9"/>
        <v>_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3">
      <c r="A175" t="s">
        <v>184</v>
      </c>
      <c r="B175" t="s">
        <v>213</v>
      </c>
      <c r="C175" t="str">
        <f t="shared" si="8"/>
        <v>_</v>
      </c>
      <c r="D175" t="s">
        <v>11</v>
      </c>
      <c r="E175" t="str">
        <f t="shared" si="9"/>
        <v>_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3">
      <c r="A176" t="s">
        <v>185</v>
      </c>
      <c r="B176" t="s">
        <v>372</v>
      </c>
      <c r="C176" t="str">
        <f t="shared" si="8"/>
        <v>_</v>
      </c>
      <c r="D176" t="s">
        <v>11</v>
      </c>
      <c r="E176" t="str">
        <f t="shared" si="9"/>
        <v>_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3">
      <c r="A177" t="s">
        <v>186</v>
      </c>
      <c r="B177" t="s">
        <v>215</v>
      </c>
      <c r="C177" t="str">
        <f t="shared" si="8"/>
        <v>_</v>
      </c>
      <c r="D177" t="s">
        <v>11</v>
      </c>
      <c r="E177" t="str">
        <f t="shared" si="9"/>
        <v>_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3">
      <c r="A178" t="s">
        <v>187</v>
      </c>
      <c r="B178" t="s">
        <v>198</v>
      </c>
      <c r="C178" t="str">
        <f t="shared" si="8"/>
        <v>_</v>
      </c>
      <c r="D178" t="s">
        <v>11</v>
      </c>
      <c r="E178" t="str">
        <f t="shared" si="9"/>
        <v>_</v>
      </c>
      <c r="F178" t="s">
        <v>11</v>
      </c>
      <c r="G178" t="s">
        <v>11</v>
      </c>
      <c r="H178" t="s">
        <v>11</v>
      </c>
      <c r="I178" t="s">
        <v>11</v>
      </c>
      <c r="J178" t="s">
        <v>11</v>
      </c>
    </row>
    <row r="179" spans="1:10" x14ac:dyDescent="0.3">
      <c r="A179" t="s">
        <v>188</v>
      </c>
      <c r="B179" t="s">
        <v>373</v>
      </c>
      <c r="C179" t="str">
        <f t="shared" si="8"/>
        <v>_</v>
      </c>
      <c r="D179" t="s">
        <v>11</v>
      </c>
      <c r="E179" t="str">
        <f t="shared" si="9"/>
        <v>_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</row>
    <row r="180" spans="1:10" x14ac:dyDescent="0.3">
      <c r="A180" t="s">
        <v>189</v>
      </c>
      <c r="B180" t="s">
        <v>200</v>
      </c>
      <c r="C180" t="str">
        <f t="shared" si="8"/>
        <v>_</v>
      </c>
      <c r="D180" t="s">
        <v>11</v>
      </c>
      <c r="E180" t="str">
        <f t="shared" si="9"/>
        <v>_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</row>
    <row r="181" spans="1:10" x14ac:dyDescent="0.3">
      <c r="A181" t="s">
        <v>190</v>
      </c>
      <c r="B181" t="s">
        <v>288</v>
      </c>
      <c r="C181" t="str">
        <f t="shared" si="8"/>
        <v>_</v>
      </c>
      <c r="D181" t="s">
        <v>11</v>
      </c>
      <c r="E181" t="str">
        <f t="shared" si="9"/>
        <v>_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</row>
    <row r="182" spans="1:10" x14ac:dyDescent="0.3">
      <c r="A182" t="s">
        <v>191</v>
      </c>
      <c r="B182" t="s">
        <v>202</v>
      </c>
      <c r="C182" t="str">
        <f t="shared" si="8"/>
        <v>_</v>
      </c>
      <c r="D182" t="s">
        <v>11</v>
      </c>
      <c r="E182" t="str">
        <f t="shared" si="9"/>
        <v>_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  <row r="183" spans="1:10" x14ac:dyDescent="0.3">
      <c r="A183" t="s">
        <v>192</v>
      </c>
      <c r="B183" t="s">
        <v>287</v>
      </c>
      <c r="C183" t="str">
        <f t="shared" si="8"/>
        <v>_</v>
      </c>
      <c r="D183" t="s">
        <v>11</v>
      </c>
      <c r="E183" t="str">
        <f t="shared" si="9"/>
        <v>_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</row>
    <row r="184" spans="1:10" x14ac:dyDescent="0.3">
      <c r="A184" t="s">
        <v>193</v>
      </c>
      <c r="B184" t="s">
        <v>215</v>
      </c>
      <c r="C184" t="str">
        <f t="shared" si="8"/>
        <v>_</v>
      </c>
      <c r="D184" t="s">
        <v>11</v>
      </c>
      <c r="E184" t="str">
        <f t="shared" si="9"/>
        <v>_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</row>
    <row r="185" spans="1:10" x14ac:dyDescent="0.3">
      <c r="A185" t="s">
        <v>194</v>
      </c>
      <c r="B185" t="s">
        <v>289</v>
      </c>
      <c r="C185" t="str">
        <f t="shared" si="8"/>
        <v>_</v>
      </c>
      <c r="D185" t="s">
        <v>11</v>
      </c>
      <c r="E185" t="str">
        <f t="shared" si="9"/>
        <v>_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 x14ac:dyDescent="0.3">
      <c r="A186" t="s">
        <v>195</v>
      </c>
      <c r="B186" t="s">
        <v>290</v>
      </c>
      <c r="C186" t="str">
        <f t="shared" si="8"/>
        <v>_</v>
      </c>
      <c r="D186" t="s">
        <v>11</v>
      </c>
      <c r="E186" t="str">
        <f t="shared" si="9"/>
        <v>_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</row>
    <row r="187" spans="1:10" x14ac:dyDescent="0.3">
      <c r="A187" t="s">
        <v>323</v>
      </c>
      <c r="B187" t="s">
        <v>374</v>
      </c>
      <c r="C187" t="str">
        <f t="shared" si="8"/>
        <v>*</v>
      </c>
      <c r="D187" t="s">
        <v>196</v>
      </c>
      <c r="E187" t="str">
        <f t="shared" si="9"/>
        <v>check</v>
      </c>
      <c r="F187" t="s">
        <v>196</v>
      </c>
      <c r="G187" t="s">
        <v>196</v>
      </c>
      <c r="H187" t="s">
        <v>196</v>
      </c>
      <c r="I187" t="s">
        <v>304</v>
      </c>
      <c r="J187" t="s">
        <v>388</v>
      </c>
    </row>
    <row r="188" spans="1:10" x14ac:dyDescent="0.3">
      <c r="A188" t="s">
        <v>324</v>
      </c>
      <c r="B188" t="s">
        <v>292</v>
      </c>
      <c r="C188" t="str">
        <f t="shared" si="8"/>
        <v>_</v>
      </c>
      <c r="D188" t="s">
        <v>11</v>
      </c>
      <c r="E188" t="str">
        <f t="shared" si="9"/>
        <v>_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</row>
    <row r="189" spans="1:10" x14ac:dyDescent="0.3">
      <c r="A189" t="s">
        <v>325</v>
      </c>
      <c r="B189" t="s">
        <v>220</v>
      </c>
      <c r="C189" t="str">
        <f t="shared" si="8"/>
        <v>_</v>
      </c>
      <c r="D189" t="s">
        <v>11</v>
      </c>
      <c r="E189" t="str">
        <f t="shared" si="9"/>
        <v>_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</row>
    <row r="190" spans="1:10" x14ac:dyDescent="0.3">
      <c r="A190" t="s">
        <v>326</v>
      </c>
      <c r="B190" t="s">
        <v>293</v>
      </c>
      <c r="C190" t="str">
        <f t="shared" si="8"/>
        <v>_</v>
      </c>
      <c r="D190" t="s">
        <v>11</v>
      </c>
      <c r="E190" t="str">
        <f t="shared" si="9"/>
        <v>_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</row>
    <row r="191" spans="1:10" x14ac:dyDescent="0.3">
      <c r="A191" t="s">
        <v>327</v>
      </c>
      <c r="B191" t="s">
        <v>202</v>
      </c>
      <c r="C191" t="str">
        <f t="shared" si="8"/>
        <v>_</v>
      </c>
      <c r="D191" t="s">
        <v>11</v>
      </c>
      <c r="E191" t="str">
        <f t="shared" si="9"/>
        <v>_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</row>
    <row r="192" spans="1:10" x14ac:dyDescent="0.3">
      <c r="A192" t="s">
        <v>328</v>
      </c>
      <c r="B192" t="s">
        <v>205</v>
      </c>
      <c r="C192" t="str">
        <f t="shared" si="8"/>
        <v>_</v>
      </c>
      <c r="D192" t="s">
        <v>11</v>
      </c>
      <c r="E192" t="str">
        <f t="shared" si="9"/>
        <v>_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</row>
    <row r="193" spans="1:10" x14ac:dyDescent="0.3">
      <c r="A193" t="s">
        <v>329</v>
      </c>
      <c r="B193" t="s">
        <v>206</v>
      </c>
      <c r="C193" t="str">
        <f t="shared" si="8"/>
        <v>_</v>
      </c>
      <c r="D193" t="s">
        <v>11</v>
      </c>
      <c r="E193" t="str">
        <f t="shared" si="9"/>
        <v>_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</row>
    <row r="194" spans="1:10" x14ac:dyDescent="0.3">
      <c r="A194" t="s">
        <v>330</v>
      </c>
      <c r="B194" t="s">
        <v>207</v>
      </c>
      <c r="C194" t="str">
        <f t="shared" si="8"/>
        <v>_</v>
      </c>
      <c r="D194" t="s">
        <v>11</v>
      </c>
      <c r="E194" t="str">
        <f t="shared" si="9"/>
        <v>_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</row>
    <row r="195" spans="1:10" x14ac:dyDescent="0.3">
      <c r="A195" t="s">
        <v>331</v>
      </c>
      <c r="B195" t="s">
        <v>375</v>
      </c>
      <c r="C195" t="str">
        <f t="shared" ref="C195:C203" si="14">IFERROR(LEFT(D195, FIND("[", D195)-1), D195)</f>
        <v>_</v>
      </c>
      <c r="D195" t="s">
        <v>11</v>
      </c>
      <c r="E195" t="str">
        <f t="shared" ref="E195:E203" si="15">IF(F195="", "", IF(F195="*",IF(G195="*", IF(H195="*", "check", H195), G195), F195))</f>
        <v>_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</row>
    <row r="196" spans="1:10" x14ac:dyDescent="0.3">
      <c r="A196" t="s">
        <v>332</v>
      </c>
      <c r="B196" t="s">
        <v>209</v>
      </c>
      <c r="C196" t="str">
        <f t="shared" si="14"/>
        <v>_</v>
      </c>
      <c r="D196" t="s">
        <v>11</v>
      </c>
      <c r="E196" t="str">
        <f t="shared" si="15"/>
        <v>_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</row>
    <row r="197" spans="1:10" x14ac:dyDescent="0.3">
      <c r="A197" t="s">
        <v>333</v>
      </c>
      <c r="B197" t="s">
        <v>210</v>
      </c>
      <c r="C197" t="str">
        <f t="shared" si="14"/>
        <v>_</v>
      </c>
      <c r="D197" t="s">
        <v>11</v>
      </c>
      <c r="E197" t="str">
        <f t="shared" si="15"/>
        <v>_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</row>
    <row r="198" spans="1:10" x14ac:dyDescent="0.3">
      <c r="A198" t="s">
        <v>334</v>
      </c>
      <c r="B198" t="s">
        <v>202</v>
      </c>
      <c r="C198" t="str">
        <f t="shared" si="14"/>
        <v>_</v>
      </c>
      <c r="D198" t="s">
        <v>11</v>
      </c>
      <c r="E198" t="str">
        <f t="shared" si="15"/>
        <v>_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</row>
    <row r="199" spans="1:10" x14ac:dyDescent="0.3">
      <c r="A199" t="s">
        <v>335</v>
      </c>
      <c r="B199" t="s">
        <v>211</v>
      </c>
      <c r="C199" t="str">
        <f t="shared" si="14"/>
        <v>_</v>
      </c>
      <c r="D199" t="s">
        <v>11</v>
      </c>
      <c r="E199" t="str">
        <f t="shared" si="15"/>
        <v>_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</row>
    <row r="200" spans="1:10" x14ac:dyDescent="0.3">
      <c r="A200" t="s">
        <v>336</v>
      </c>
      <c r="B200" t="s">
        <v>212</v>
      </c>
      <c r="C200" t="str">
        <f t="shared" si="14"/>
        <v>_</v>
      </c>
      <c r="D200" t="s">
        <v>11</v>
      </c>
      <c r="E200" t="str">
        <f t="shared" si="15"/>
        <v>_</v>
      </c>
      <c r="F200" t="s">
        <v>11</v>
      </c>
      <c r="G200" t="s">
        <v>11</v>
      </c>
      <c r="H200" t="s">
        <v>11</v>
      </c>
      <c r="I200" t="s">
        <v>11</v>
      </c>
      <c r="J200" t="s">
        <v>11</v>
      </c>
    </row>
    <row r="201" spans="1:10" x14ac:dyDescent="0.3">
      <c r="A201" t="s">
        <v>337</v>
      </c>
      <c r="B201" t="s">
        <v>213</v>
      </c>
      <c r="C201" t="str">
        <f t="shared" si="14"/>
        <v>_</v>
      </c>
      <c r="D201" t="s">
        <v>11</v>
      </c>
      <c r="E201" t="str">
        <f t="shared" si="15"/>
        <v>_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</row>
    <row r="202" spans="1:10" x14ac:dyDescent="0.3">
      <c r="A202" t="s">
        <v>338</v>
      </c>
      <c r="B202" t="s">
        <v>214</v>
      </c>
      <c r="C202" t="str">
        <f t="shared" si="14"/>
        <v>_</v>
      </c>
      <c r="D202" t="s">
        <v>11</v>
      </c>
      <c r="E202" t="str">
        <f t="shared" si="15"/>
        <v>_</v>
      </c>
      <c r="F202" t="s">
        <v>11</v>
      </c>
      <c r="G202" t="s">
        <v>11</v>
      </c>
      <c r="H202" t="s">
        <v>11</v>
      </c>
      <c r="I202" t="s">
        <v>11</v>
      </c>
      <c r="J202" t="s">
        <v>11</v>
      </c>
    </row>
    <row r="203" spans="1:10" x14ac:dyDescent="0.3">
      <c r="A203" t="s">
        <v>339</v>
      </c>
      <c r="B203" t="s">
        <v>215</v>
      </c>
      <c r="C203" t="str">
        <f t="shared" si="14"/>
        <v>_</v>
      </c>
      <c r="D203" t="s">
        <v>11</v>
      </c>
      <c r="E203" t="str">
        <f t="shared" si="15"/>
        <v>_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B8F4-32F2-4272-87FB-CC915645C185}">
  <dimension ref="A1:J199"/>
  <sheetViews>
    <sheetView workbookViewId="0">
      <selection activeCell="J82" sqref="J82"/>
    </sheetView>
  </sheetViews>
  <sheetFormatPr defaultRowHeight="14.4" x14ac:dyDescent="0.3"/>
  <cols>
    <col min="1" max="1" width="10.33203125" bestFit="1" customWidth="1"/>
    <col min="2" max="2" width="15.109375" bestFit="1" customWidth="1"/>
    <col min="3" max="3" width="18.109375" bestFit="1" customWidth="1"/>
    <col min="4" max="4" width="18.109375" customWidth="1"/>
    <col min="5" max="5" width="14.8867187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2.88671875" bestFit="1" customWidth="1"/>
    <col min="10" max="10" width="8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289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583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198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199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200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390</v>
      </c>
      <c r="B7" t="s">
        <v>584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391</v>
      </c>
      <c r="B8" t="s">
        <v>585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392</v>
      </c>
      <c r="B9" t="s">
        <v>204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393</v>
      </c>
      <c r="B10" t="s">
        <v>348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394</v>
      </c>
      <c r="B11" t="s">
        <v>202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395</v>
      </c>
      <c r="B12" t="s">
        <v>586</v>
      </c>
      <c r="C12" t="str">
        <f t="shared" si="0"/>
        <v>Accuracy</v>
      </c>
      <c r="D12" t="s">
        <v>376</v>
      </c>
      <c r="E12" t="s">
        <v>623</v>
      </c>
      <c r="F12" t="s">
        <v>11</v>
      </c>
      <c r="G12" t="s">
        <v>11</v>
      </c>
      <c r="H12" t="s">
        <v>11</v>
      </c>
      <c r="I12" t="s">
        <v>622</v>
      </c>
      <c r="J12" t="s">
        <v>639</v>
      </c>
    </row>
    <row r="13" spans="1:10" x14ac:dyDescent="0.3">
      <c r="A13" t="s">
        <v>396</v>
      </c>
      <c r="B13" t="s">
        <v>204</v>
      </c>
      <c r="C13" t="str">
        <f t="shared" si="0"/>
        <v>Accuracy</v>
      </c>
      <c r="D13" t="s">
        <v>376</v>
      </c>
      <c r="E13" t="s">
        <v>623</v>
      </c>
      <c r="F13" t="s">
        <v>11</v>
      </c>
      <c r="G13" t="s">
        <v>11</v>
      </c>
      <c r="H13" t="s">
        <v>11</v>
      </c>
      <c r="I13" t="s">
        <v>622</v>
      </c>
      <c r="J13" t="s">
        <v>639</v>
      </c>
    </row>
    <row r="14" spans="1:10" x14ac:dyDescent="0.3">
      <c r="A14" t="s">
        <v>397</v>
      </c>
      <c r="B14" t="s">
        <v>202</v>
      </c>
      <c r="C14" t="str">
        <f t="shared" si="0"/>
        <v>Style</v>
      </c>
      <c r="D14" t="s">
        <v>640</v>
      </c>
      <c r="E14" t="s">
        <v>641</v>
      </c>
      <c r="F14" t="s">
        <v>196</v>
      </c>
      <c r="G14" t="s">
        <v>196</v>
      </c>
      <c r="H14" t="s">
        <v>382</v>
      </c>
      <c r="I14" t="s">
        <v>642</v>
      </c>
      <c r="J14" t="s">
        <v>643</v>
      </c>
    </row>
    <row r="15" spans="1:10" x14ac:dyDescent="0.3">
      <c r="A15" t="s">
        <v>398</v>
      </c>
      <c r="B15" t="s">
        <v>213</v>
      </c>
      <c r="C15" t="str">
        <f t="shared" si="0"/>
        <v>Style</v>
      </c>
      <c r="D15" t="s">
        <v>640</v>
      </c>
      <c r="E15" t="s">
        <v>641</v>
      </c>
      <c r="F15" t="s">
        <v>196</v>
      </c>
      <c r="G15" t="s">
        <v>196</v>
      </c>
      <c r="H15" t="s">
        <v>382</v>
      </c>
      <c r="I15" t="s">
        <v>642</v>
      </c>
      <c r="J15" t="s">
        <v>643</v>
      </c>
    </row>
    <row r="16" spans="1:10" x14ac:dyDescent="0.3">
      <c r="A16" t="s">
        <v>399</v>
      </c>
      <c r="B16" t="s">
        <v>214</v>
      </c>
      <c r="C16" t="str">
        <f t="shared" si="0"/>
        <v>Style</v>
      </c>
      <c r="D16" t="s">
        <v>640</v>
      </c>
      <c r="E16" t="s">
        <v>641</v>
      </c>
      <c r="F16" t="s">
        <v>196</v>
      </c>
      <c r="G16" t="s">
        <v>196</v>
      </c>
      <c r="H16" t="s">
        <v>382</v>
      </c>
      <c r="I16" t="s">
        <v>642</v>
      </c>
      <c r="J16" t="s">
        <v>643</v>
      </c>
    </row>
    <row r="17" spans="1:10" x14ac:dyDescent="0.3">
      <c r="A17" t="s">
        <v>400</v>
      </c>
      <c r="B17" t="s">
        <v>587</v>
      </c>
      <c r="C17" t="str">
        <f t="shared" si="0"/>
        <v>Style</v>
      </c>
      <c r="D17" t="s">
        <v>640</v>
      </c>
      <c r="E17" t="s">
        <v>641</v>
      </c>
      <c r="F17" t="s">
        <v>196</v>
      </c>
      <c r="G17" t="s">
        <v>196</v>
      </c>
      <c r="H17" t="s">
        <v>382</v>
      </c>
      <c r="I17" t="s">
        <v>642</v>
      </c>
      <c r="J17" t="s">
        <v>643</v>
      </c>
    </row>
    <row r="18" spans="1:10" x14ac:dyDescent="0.3">
      <c r="A18" t="s">
        <v>401</v>
      </c>
      <c r="B18" t="s">
        <v>222</v>
      </c>
      <c r="C18" t="str">
        <f t="shared" si="0"/>
        <v>Style</v>
      </c>
      <c r="D18" t="s">
        <v>640</v>
      </c>
      <c r="E18" t="s">
        <v>641</v>
      </c>
      <c r="F18" t="s">
        <v>196</v>
      </c>
      <c r="G18" t="s">
        <v>196</v>
      </c>
      <c r="H18" t="s">
        <v>382</v>
      </c>
      <c r="I18" t="s">
        <v>642</v>
      </c>
      <c r="J18" t="s">
        <v>643</v>
      </c>
    </row>
    <row r="19" spans="1:10" x14ac:dyDescent="0.3">
      <c r="A19" t="s">
        <v>402</v>
      </c>
      <c r="B19" t="s">
        <v>210</v>
      </c>
      <c r="C19" t="str">
        <f t="shared" si="0"/>
        <v>Style</v>
      </c>
      <c r="D19" t="s">
        <v>640</v>
      </c>
      <c r="E19" t="s">
        <v>641</v>
      </c>
      <c r="F19" t="s">
        <v>196</v>
      </c>
      <c r="G19" t="s">
        <v>196</v>
      </c>
      <c r="H19" t="s">
        <v>382</v>
      </c>
      <c r="I19" t="s">
        <v>642</v>
      </c>
      <c r="J19" t="s">
        <v>643</v>
      </c>
    </row>
    <row r="20" spans="1:10" x14ac:dyDescent="0.3">
      <c r="A20" t="s">
        <v>403</v>
      </c>
      <c r="B20" t="s">
        <v>202</v>
      </c>
      <c r="C20" t="str">
        <f t="shared" si="0"/>
        <v>Style</v>
      </c>
      <c r="D20" t="s">
        <v>640</v>
      </c>
      <c r="E20" t="s">
        <v>641</v>
      </c>
      <c r="F20" t="s">
        <v>196</v>
      </c>
      <c r="G20" t="s">
        <v>196</v>
      </c>
      <c r="H20" t="s">
        <v>382</v>
      </c>
      <c r="I20" t="s">
        <v>642</v>
      </c>
      <c r="J20" t="s">
        <v>643</v>
      </c>
    </row>
    <row r="21" spans="1:10" x14ac:dyDescent="0.3">
      <c r="A21" t="s">
        <v>404</v>
      </c>
      <c r="B21" t="s">
        <v>588</v>
      </c>
      <c r="C21" t="str">
        <f t="shared" si="0"/>
        <v>Style</v>
      </c>
      <c r="D21" t="s">
        <v>644</v>
      </c>
      <c r="E21" t="s">
        <v>645</v>
      </c>
      <c r="F21" t="s">
        <v>196</v>
      </c>
      <c r="G21" t="s">
        <v>196</v>
      </c>
      <c r="H21" t="s">
        <v>382</v>
      </c>
      <c r="I21" t="s">
        <v>646</v>
      </c>
      <c r="J21" t="s">
        <v>647</v>
      </c>
    </row>
    <row r="22" spans="1:10" x14ac:dyDescent="0.3">
      <c r="A22" t="s">
        <v>405</v>
      </c>
      <c r="B22" t="s">
        <v>215</v>
      </c>
      <c r="C22" t="str">
        <f t="shared" si="0"/>
        <v>Style</v>
      </c>
      <c r="D22" t="s">
        <v>618</v>
      </c>
      <c r="E22" t="str">
        <f t="shared" si="1"/>
        <v>Inconsistent style</v>
      </c>
      <c r="F22" t="s">
        <v>196</v>
      </c>
      <c r="G22" t="s">
        <v>196</v>
      </c>
      <c r="H22" t="s">
        <v>382</v>
      </c>
      <c r="I22" t="s">
        <v>622</v>
      </c>
      <c r="J22" t="s">
        <v>627</v>
      </c>
    </row>
    <row r="23" spans="1:10" x14ac:dyDescent="0.3">
      <c r="A23" t="s">
        <v>406</v>
      </c>
      <c r="B23" t="s">
        <v>198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407</v>
      </c>
      <c r="B24" t="s">
        <v>243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408</v>
      </c>
      <c r="B25" t="s">
        <v>341</v>
      </c>
      <c r="C25" t="str">
        <f t="shared" si="0"/>
        <v>Kudos</v>
      </c>
      <c r="D25" t="s">
        <v>619</v>
      </c>
      <c r="E25" t="str">
        <f t="shared" si="1"/>
        <v>check</v>
      </c>
      <c r="F25" t="s">
        <v>196</v>
      </c>
      <c r="G25" t="s">
        <v>196</v>
      </c>
      <c r="H25" t="s">
        <v>196</v>
      </c>
      <c r="I25" t="s">
        <v>304</v>
      </c>
      <c r="J25" t="s">
        <v>378</v>
      </c>
    </row>
    <row r="26" spans="1:10" x14ac:dyDescent="0.3">
      <c r="A26" t="s">
        <v>409</v>
      </c>
      <c r="B26" t="s">
        <v>589</v>
      </c>
      <c r="C26" t="str">
        <f t="shared" si="0"/>
        <v>Kudos</v>
      </c>
      <c r="D26" t="s">
        <v>619</v>
      </c>
      <c r="E26" t="str">
        <f t="shared" si="1"/>
        <v>check</v>
      </c>
      <c r="F26" t="s">
        <v>196</v>
      </c>
      <c r="G26" t="s">
        <v>196</v>
      </c>
      <c r="H26" t="s">
        <v>196</v>
      </c>
      <c r="I26" t="s">
        <v>304</v>
      </c>
      <c r="J26" t="s">
        <v>378</v>
      </c>
    </row>
    <row r="27" spans="1:10" x14ac:dyDescent="0.3">
      <c r="A27" t="s">
        <v>410</v>
      </c>
      <c r="B27" t="s">
        <v>220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411</v>
      </c>
      <c r="B28" t="s">
        <v>221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412</v>
      </c>
      <c r="B29" t="s">
        <v>223</v>
      </c>
      <c r="C29" t="str">
        <f t="shared" si="0"/>
        <v>_</v>
      </c>
      <c r="D29" t="s">
        <v>11</v>
      </c>
      <c r="E29" t="str">
        <f t="shared" si="1"/>
        <v>_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3">
      <c r="A30" t="s">
        <v>413</v>
      </c>
      <c r="B30" t="s">
        <v>202</v>
      </c>
      <c r="C30" t="str">
        <f t="shared" si="0"/>
        <v>_</v>
      </c>
      <c r="D30" t="s">
        <v>11</v>
      </c>
      <c r="E30" t="str">
        <f t="shared" si="1"/>
        <v>_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3">
      <c r="A31" t="s">
        <v>414</v>
      </c>
      <c r="B31" t="s">
        <v>224</v>
      </c>
      <c r="C31" t="str">
        <f t="shared" si="0"/>
        <v>_</v>
      </c>
      <c r="D31" t="s">
        <v>11</v>
      </c>
      <c r="E31" t="str">
        <f t="shared" si="1"/>
        <v>_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3">
      <c r="A32" t="s">
        <v>415</v>
      </c>
      <c r="B32" t="s">
        <v>225</v>
      </c>
      <c r="C32" t="str">
        <f t="shared" si="0"/>
        <v>_</v>
      </c>
      <c r="D32" t="s">
        <v>11</v>
      </c>
      <c r="E32" t="str">
        <f t="shared" si="1"/>
        <v>_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3">
      <c r="A33" t="s">
        <v>416</v>
      </c>
      <c r="B33" t="s">
        <v>219</v>
      </c>
      <c r="C33" t="str">
        <f t="shared" si="0"/>
        <v>_</v>
      </c>
      <c r="D33" t="s">
        <v>11</v>
      </c>
      <c r="E33" t="str">
        <f t="shared" si="1"/>
        <v>_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3">
      <c r="A34" t="s">
        <v>417</v>
      </c>
      <c r="B34" t="s">
        <v>220</v>
      </c>
      <c r="C34" t="str">
        <f t="shared" si="0"/>
        <v>_</v>
      </c>
      <c r="D34" t="s">
        <v>11</v>
      </c>
      <c r="E34" t="str">
        <f t="shared" si="1"/>
        <v>_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3">
      <c r="A35" t="s">
        <v>418</v>
      </c>
      <c r="B35" t="s">
        <v>229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419</v>
      </c>
      <c r="B36" t="s">
        <v>212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420</v>
      </c>
      <c r="B37" t="s">
        <v>220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421</v>
      </c>
      <c r="B38" t="s">
        <v>583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422</v>
      </c>
      <c r="B39" t="s">
        <v>590</v>
      </c>
      <c r="C39" t="str">
        <f t="shared" si="0"/>
        <v>Style</v>
      </c>
      <c r="D39" t="s">
        <v>620</v>
      </c>
      <c r="E39" t="str">
        <f t="shared" si="1"/>
        <v>Awkward style</v>
      </c>
      <c r="F39" t="s">
        <v>196</v>
      </c>
      <c r="G39" t="s">
        <v>196</v>
      </c>
      <c r="H39" t="s">
        <v>381</v>
      </c>
      <c r="I39" t="s">
        <v>306</v>
      </c>
      <c r="J39" t="s">
        <v>628</v>
      </c>
    </row>
    <row r="40" spans="1:10" x14ac:dyDescent="0.3">
      <c r="A40" t="s">
        <v>423</v>
      </c>
      <c r="B40" t="s">
        <v>212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424</v>
      </c>
      <c r="B41" t="s">
        <v>591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425</v>
      </c>
      <c r="B42" t="s">
        <v>202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426</v>
      </c>
      <c r="B43" t="s">
        <v>228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427</v>
      </c>
      <c r="B44" t="s">
        <v>209</v>
      </c>
      <c r="C44" t="str">
        <f t="shared" si="0"/>
        <v>_</v>
      </c>
      <c r="D44" t="s">
        <v>11</v>
      </c>
      <c r="E44" t="str">
        <f t="shared" si="1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428</v>
      </c>
      <c r="B45" t="s">
        <v>592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429</v>
      </c>
      <c r="B46" t="s">
        <v>345</v>
      </c>
      <c r="C46" t="str">
        <f t="shared" si="0"/>
        <v>_</v>
      </c>
      <c r="D46" t="s">
        <v>11</v>
      </c>
      <c r="E46" t="str">
        <f t="shared" si="1"/>
        <v>_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3">
      <c r="A47" t="s">
        <v>430</v>
      </c>
      <c r="B47" t="s">
        <v>215</v>
      </c>
      <c r="C47" t="str">
        <f t="shared" si="0"/>
        <v>_</v>
      </c>
      <c r="D47" t="s">
        <v>11</v>
      </c>
      <c r="E47" t="str">
        <f t="shared" si="1"/>
        <v>_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3">
      <c r="A48" t="s">
        <v>431</v>
      </c>
      <c r="B48" t="s">
        <v>216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432</v>
      </c>
      <c r="B49" t="s">
        <v>593</v>
      </c>
      <c r="C49" t="str">
        <f t="shared" si="0"/>
        <v>Accuracy</v>
      </c>
      <c r="D49" t="s">
        <v>376</v>
      </c>
      <c r="E49" t="str">
        <f t="shared" si="1"/>
        <v>Undertranslation</v>
      </c>
      <c r="F49" t="s">
        <v>312</v>
      </c>
      <c r="G49" t="s">
        <v>196</v>
      </c>
      <c r="H49" t="s">
        <v>196</v>
      </c>
      <c r="I49" t="s">
        <v>306</v>
      </c>
      <c r="J49" t="s">
        <v>629</v>
      </c>
    </row>
    <row r="50" spans="1:10" x14ac:dyDescent="0.3">
      <c r="A50" t="s">
        <v>433</v>
      </c>
      <c r="B50" t="s">
        <v>220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434</v>
      </c>
      <c r="B51" t="s">
        <v>229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435</v>
      </c>
      <c r="B52" t="s">
        <v>212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436</v>
      </c>
      <c r="B53" t="s">
        <v>594</v>
      </c>
      <c r="C53" t="str">
        <f t="shared" si="0"/>
        <v>Accuracy</v>
      </c>
      <c r="D53" t="s">
        <v>376</v>
      </c>
      <c r="E53" t="str">
        <f t="shared" si="1"/>
        <v>Mistranslation</v>
      </c>
      <c r="F53" t="s">
        <v>623</v>
      </c>
      <c r="G53" t="s">
        <v>196</v>
      </c>
      <c r="H53" t="s">
        <v>196</v>
      </c>
      <c r="I53" t="s">
        <v>306</v>
      </c>
      <c r="J53" t="s">
        <v>630</v>
      </c>
    </row>
    <row r="54" spans="1:10" x14ac:dyDescent="0.3">
      <c r="A54" t="s">
        <v>437</v>
      </c>
      <c r="B54" t="s">
        <v>233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438</v>
      </c>
      <c r="B55" t="s">
        <v>212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t="s">
        <v>439</v>
      </c>
      <c r="B56" t="s">
        <v>207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440</v>
      </c>
      <c r="B57" t="s">
        <v>234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t="s">
        <v>441</v>
      </c>
      <c r="B58" t="s">
        <v>204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442</v>
      </c>
      <c r="B59" t="s">
        <v>202</v>
      </c>
      <c r="C59" t="str">
        <f t="shared" si="0"/>
        <v>_</v>
      </c>
      <c r="D59" t="s">
        <v>11</v>
      </c>
      <c r="E59" t="str">
        <f t="shared" si="1"/>
        <v>_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3">
      <c r="A60" t="s">
        <v>443</v>
      </c>
      <c r="B60" t="s">
        <v>595</v>
      </c>
      <c r="C60" t="str">
        <f t="shared" si="0"/>
        <v>_</v>
      </c>
      <c r="D60" t="s">
        <v>11</v>
      </c>
      <c r="E60" t="str">
        <f t="shared" si="1"/>
        <v>_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3">
      <c r="A61" t="s">
        <v>444</v>
      </c>
      <c r="B61" t="s">
        <v>220</v>
      </c>
      <c r="C61" t="str">
        <f t="shared" si="0"/>
        <v>_</v>
      </c>
      <c r="D61" t="s">
        <v>11</v>
      </c>
      <c r="E61" t="str">
        <f t="shared" si="1"/>
        <v>_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3">
      <c r="A62" t="s">
        <v>445</v>
      </c>
      <c r="B62" t="s">
        <v>596</v>
      </c>
      <c r="C62" t="str">
        <f t="shared" si="0"/>
        <v>Style</v>
      </c>
      <c r="D62" t="s">
        <v>379</v>
      </c>
      <c r="E62" t="str">
        <f t="shared" si="1"/>
        <v>Register</v>
      </c>
      <c r="F62" t="s">
        <v>196</v>
      </c>
      <c r="G62" t="s">
        <v>196</v>
      </c>
      <c r="H62" t="s">
        <v>624</v>
      </c>
      <c r="I62" t="s">
        <v>306</v>
      </c>
      <c r="J62" t="s">
        <v>631</v>
      </c>
    </row>
    <row r="63" spans="1:10" x14ac:dyDescent="0.3">
      <c r="A63" t="s">
        <v>446</v>
      </c>
      <c r="B63" t="s">
        <v>212</v>
      </c>
      <c r="C63" t="str">
        <f t="shared" si="0"/>
        <v>Style</v>
      </c>
      <c r="D63" t="s">
        <v>379</v>
      </c>
      <c r="E63" t="str">
        <f t="shared" si="1"/>
        <v>Register</v>
      </c>
      <c r="F63" t="s">
        <v>196</v>
      </c>
      <c r="G63" t="s">
        <v>196</v>
      </c>
      <c r="H63" t="s">
        <v>624</v>
      </c>
      <c r="I63" t="s">
        <v>306</v>
      </c>
      <c r="J63" t="s">
        <v>631</v>
      </c>
    </row>
    <row r="64" spans="1:10" x14ac:dyDescent="0.3">
      <c r="A64" t="s">
        <v>447</v>
      </c>
      <c r="B64" t="s">
        <v>597</v>
      </c>
      <c r="C64" t="str">
        <f t="shared" si="0"/>
        <v>Style</v>
      </c>
      <c r="D64" t="s">
        <v>379</v>
      </c>
      <c r="E64" t="str">
        <f t="shared" si="1"/>
        <v>Register</v>
      </c>
      <c r="F64" t="s">
        <v>196</v>
      </c>
      <c r="G64" t="s">
        <v>196</v>
      </c>
      <c r="H64" t="s">
        <v>624</v>
      </c>
      <c r="I64" t="s">
        <v>306</v>
      </c>
      <c r="J64" t="s">
        <v>631</v>
      </c>
    </row>
    <row r="65" spans="1:10" x14ac:dyDescent="0.3">
      <c r="A65" t="s">
        <v>448</v>
      </c>
      <c r="B65" t="s">
        <v>238</v>
      </c>
      <c r="C65" t="str">
        <f t="shared" si="0"/>
        <v>Style</v>
      </c>
      <c r="D65" t="s">
        <v>379</v>
      </c>
      <c r="E65" t="str">
        <f t="shared" si="1"/>
        <v>Register</v>
      </c>
      <c r="F65" t="s">
        <v>196</v>
      </c>
      <c r="G65" t="s">
        <v>196</v>
      </c>
      <c r="H65" t="s">
        <v>624</v>
      </c>
      <c r="I65" t="s">
        <v>306</v>
      </c>
      <c r="J65" t="s">
        <v>631</v>
      </c>
    </row>
    <row r="66" spans="1:10" x14ac:dyDescent="0.3">
      <c r="A66" t="s">
        <v>449</v>
      </c>
      <c r="B66" t="s">
        <v>215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450</v>
      </c>
      <c r="B67" t="s">
        <v>349</v>
      </c>
      <c r="C67" t="str">
        <f t="shared" ref="C67:C130" si="2">IFERROR(LEFT(D67, FIND("[", D67)-1), D67)</f>
        <v>_</v>
      </c>
      <c r="D67" t="s">
        <v>11</v>
      </c>
      <c r="E67" t="str">
        <f t="shared" ref="E67:E130" si="3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451</v>
      </c>
      <c r="B68" t="s">
        <v>286</v>
      </c>
      <c r="C68" t="str">
        <f t="shared" si="2"/>
        <v>Accuracy</v>
      </c>
      <c r="D68" t="s">
        <v>376</v>
      </c>
      <c r="E68" t="str">
        <f t="shared" si="3"/>
        <v>Mistranslation</v>
      </c>
      <c r="F68" t="s">
        <v>623</v>
      </c>
      <c r="G68" t="s">
        <v>196</v>
      </c>
      <c r="H68" t="s">
        <v>196</v>
      </c>
      <c r="I68" t="s">
        <v>622</v>
      </c>
      <c r="J68" t="s">
        <v>632</v>
      </c>
    </row>
    <row r="69" spans="1:10" x14ac:dyDescent="0.3">
      <c r="A69" t="s">
        <v>452</v>
      </c>
      <c r="B69" t="s">
        <v>241</v>
      </c>
      <c r="C69" t="str">
        <f t="shared" si="2"/>
        <v>_</v>
      </c>
      <c r="D69" t="s">
        <v>11</v>
      </c>
      <c r="E69" t="str">
        <f t="shared" si="3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453</v>
      </c>
      <c r="B70" t="s">
        <v>350</v>
      </c>
      <c r="C70" t="str">
        <f t="shared" si="2"/>
        <v>_</v>
      </c>
      <c r="D70" t="s">
        <v>11</v>
      </c>
      <c r="E70" t="str">
        <f t="shared" si="3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454</v>
      </c>
      <c r="B71" t="s">
        <v>220</v>
      </c>
      <c r="C71" t="str">
        <f t="shared" si="2"/>
        <v>_</v>
      </c>
      <c r="D71" t="s">
        <v>11</v>
      </c>
      <c r="E71" t="str">
        <f t="shared" si="3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455</v>
      </c>
      <c r="B72" t="s">
        <v>598</v>
      </c>
      <c r="C72" t="str">
        <f t="shared" si="2"/>
        <v>_</v>
      </c>
      <c r="D72" t="s">
        <v>11</v>
      </c>
      <c r="E72" t="str">
        <f t="shared" si="3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456</v>
      </c>
      <c r="B73" t="s">
        <v>202</v>
      </c>
      <c r="C73" t="str">
        <f t="shared" si="2"/>
        <v>_</v>
      </c>
      <c r="D73" t="s">
        <v>11</v>
      </c>
      <c r="E73" t="str">
        <f t="shared" si="3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457</v>
      </c>
      <c r="B74" t="s">
        <v>245</v>
      </c>
      <c r="C74" t="str">
        <f t="shared" si="2"/>
        <v>_</v>
      </c>
      <c r="D74" t="s">
        <v>11</v>
      </c>
      <c r="E74" t="str">
        <f t="shared" si="3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458</v>
      </c>
      <c r="B75" t="s">
        <v>204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459</v>
      </c>
      <c r="B76" t="s">
        <v>245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460</v>
      </c>
      <c r="B77" t="s">
        <v>204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461</v>
      </c>
      <c r="B78" t="s">
        <v>599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462</v>
      </c>
      <c r="B79" t="s">
        <v>246</v>
      </c>
      <c r="C79" t="str">
        <f t="shared" si="2"/>
        <v>_</v>
      </c>
      <c r="D79" t="s">
        <v>11</v>
      </c>
      <c r="E79" t="str">
        <f t="shared" si="3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463</v>
      </c>
      <c r="B80" t="s">
        <v>600</v>
      </c>
      <c r="C80" t="str">
        <f t="shared" si="2"/>
        <v>_</v>
      </c>
      <c r="D80" t="s">
        <v>11</v>
      </c>
      <c r="E80" t="str">
        <f t="shared" si="3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464</v>
      </c>
      <c r="B81" t="s">
        <v>601</v>
      </c>
      <c r="C81" t="str">
        <f t="shared" si="2"/>
        <v>Style</v>
      </c>
      <c r="D81" t="s">
        <v>620</v>
      </c>
      <c r="E81" t="s">
        <v>624</v>
      </c>
      <c r="F81" t="s">
        <v>11</v>
      </c>
      <c r="G81" t="s">
        <v>11</v>
      </c>
      <c r="H81" t="s">
        <v>11</v>
      </c>
      <c r="I81" t="s">
        <v>306</v>
      </c>
      <c r="J81" t="s">
        <v>648</v>
      </c>
    </row>
    <row r="82" spans="1:10" x14ac:dyDescent="0.3">
      <c r="A82" t="s">
        <v>465</v>
      </c>
      <c r="B82" t="s">
        <v>602</v>
      </c>
      <c r="C82" t="str">
        <f t="shared" si="2"/>
        <v>_</v>
      </c>
      <c r="D82" t="s">
        <v>11</v>
      </c>
      <c r="E82" t="str">
        <f t="shared" si="3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466</v>
      </c>
      <c r="B83" t="s">
        <v>250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467</v>
      </c>
      <c r="B84" t="s">
        <v>220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468</v>
      </c>
      <c r="B85" t="s">
        <v>251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469</v>
      </c>
      <c r="B86" t="s">
        <v>215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470</v>
      </c>
      <c r="B87" t="s">
        <v>289</v>
      </c>
      <c r="C87" t="str">
        <f t="shared" si="2"/>
        <v>_</v>
      </c>
      <c r="D87" t="s">
        <v>11</v>
      </c>
      <c r="E87" t="str">
        <f t="shared" si="3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471</v>
      </c>
      <c r="B88" t="s">
        <v>254</v>
      </c>
      <c r="C88" t="str">
        <f t="shared" si="2"/>
        <v>_</v>
      </c>
      <c r="D88" t="s">
        <v>11</v>
      </c>
      <c r="E88" t="str">
        <f t="shared" si="3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472</v>
      </c>
      <c r="B89" t="s">
        <v>209</v>
      </c>
      <c r="C89" t="str">
        <f t="shared" si="2"/>
        <v>_</v>
      </c>
      <c r="D89" t="s">
        <v>11</v>
      </c>
      <c r="E89" t="str">
        <f t="shared" si="3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473</v>
      </c>
      <c r="B90" t="s">
        <v>255</v>
      </c>
      <c r="C90" t="str">
        <f t="shared" si="2"/>
        <v>_</v>
      </c>
      <c r="D90" t="s">
        <v>11</v>
      </c>
      <c r="E90" t="str">
        <f t="shared" si="3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474</v>
      </c>
      <c r="B91" t="s">
        <v>256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475</v>
      </c>
      <c r="B92" t="s">
        <v>262</v>
      </c>
      <c r="C92" t="str">
        <f t="shared" si="2"/>
        <v>_</v>
      </c>
      <c r="D92" t="s">
        <v>11</v>
      </c>
      <c r="E92" t="str">
        <f t="shared" si="3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476</v>
      </c>
      <c r="B93" t="s">
        <v>244</v>
      </c>
      <c r="C93" t="str">
        <f t="shared" si="2"/>
        <v>_</v>
      </c>
      <c r="D93" t="s">
        <v>11</v>
      </c>
      <c r="E93" t="str">
        <f t="shared" si="3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477</v>
      </c>
      <c r="B94" t="s">
        <v>603</v>
      </c>
      <c r="C94" t="str">
        <f t="shared" si="2"/>
        <v>_</v>
      </c>
      <c r="D94" t="s">
        <v>11</v>
      </c>
      <c r="E94" t="str">
        <f t="shared" si="3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478</v>
      </c>
      <c r="B95" t="s">
        <v>220</v>
      </c>
      <c r="C95" t="str">
        <f t="shared" si="2"/>
        <v>_</v>
      </c>
      <c r="D95" t="s">
        <v>11</v>
      </c>
      <c r="E95" t="str">
        <f t="shared" si="3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479</v>
      </c>
      <c r="B96" t="s">
        <v>258</v>
      </c>
      <c r="C96" t="str">
        <f t="shared" si="2"/>
        <v>Accuracy</v>
      </c>
      <c r="D96" t="s">
        <v>299</v>
      </c>
      <c r="E96" t="str">
        <f t="shared" si="3"/>
        <v>Undertranslation</v>
      </c>
      <c r="F96" t="s">
        <v>312</v>
      </c>
      <c r="G96" t="s">
        <v>196</v>
      </c>
      <c r="H96" t="s">
        <v>196</v>
      </c>
      <c r="I96" t="s">
        <v>306</v>
      </c>
      <c r="J96" t="s">
        <v>633</v>
      </c>
    </row>
    <row r="97" spans="1:10" x14ac:dyDescent="0.3">
      <c r="A97" t="s">
        <v>480</v>
      </c>
      <c r="B97" t="s">
        <v>204</v>
      </c>
      <c r="C97" t="str">
        <f t="shared" si="2"/>
        <v>Accuracy</v>
      </c>
      <c r="D97" t="s">
        <v>299</v>
      </c>
      <c r="E97" t="str">
        <f t="shared" si="3"/>
        <v>Undertranslation</v>
      </c>
      <c r="F97" t="s">
        <v>312</v>
      </c>
      <c r="G97" t="s">
        <v>196</v>
      </c>
      <c r="H97" t="s">
        <v>196</v>
      </c>
      <c r="I97" t="s">
        <v>306</v>
      </c>
      <c r="J97" t="s">
        <v>633</v>
      </c>
    </row>
    <row r="98" spans="1:10" x14ac:dyDescent="0.3">
      <c r="A98" t="s">
        <v>481</v>
      </c>
      <c r="B98" t="s">
        <v>258</v>
      </c>
      <c r="C98" t="str">
        <f t="shared" si="2"/>
        <v>Accuracy</v>
      </c>
      <c r="D98" t="s">
        <v>299</v>
      </c>
      <c r="E98" t="str">
        <f t="shared" si="3"/>
        <v>Undertranslation</v>
      </c>
      <c r="F98" t="s">
        <v>312</v>
      </c>
      <c r="G98" t="s">
        <v>196</v>
      </c>
      <c r="H98" t="s">
        <v>196</v>
      </c>
      <c r="I98" t="s">
        <v>306</v>
      </c>
      <c r="J98" t="s">
        <v>633</v>
      </c>
    </row>
    <row r="99" spans="1:10" x14ac:dyDescent="0.3">
      <c r="A99" t="s">
        <v>482</v>
      </c>
      <c r="B99" t="s">
        <v>215</v>
      </c>
      <c r="C99" t="str">
        <f t="shared" si="2"/>
        <v>_</v>
      </c>
      <c r="D99" t="s">
        <v>11</v>
      </c>
      <c r="E99" t="str">
        <f t="shared" si="3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483</v>
      </c>
      <c r="B100" t="s">
        <v>265</v>
      </c>
      <c r="C100" t="str">
        <f t="shared" si="2"/>
        <v>_</v>
      </c>
      <c r="D100" t="s">
        <v>11</v>
      </c>
      <c r="E100" t="str">
        <f t="shared" si="3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484</v>
      </c>
      <c r="B101" t="s">
        <v>356</v>
      </c>
      <c r="C101" t="str">
        <f t="shared" si="2"/>
        <v>_</v>
      </c>
      <c r="D101" t="s">
        <v>11</v>
      </c>
      <c r="E101" t="str">
        <f t="shared" si="3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485</v>
      </c>
      <c r="B102" t="s">
        <v>207</v>
      </c>
      <c r="C102" t="str">
        <f t="shared" si="2"/>
        <v>_</v>
      </c>
      <c r="D102" t="s">
        <v>11</v>
      </c>
      <c r="E102" t="str">
        <f t="shared" si="3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486</v>
      </c>
      <c r="B103" t="s">
        <v>261</v>
      </c>
      <c r="C103" t="str">
        <f t="shared" si="2"/>
        <v>_</v>
      </c>
      <c r="D103" t="s">
        <v>11</v>
      </c>
      <c r="E103" t="str">
        <f t="shared" si="3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487</v>
      </c>
      <c r="B104" t="s">
        <v>204</v>
      </c>
      <c r="C104" t="str">
        <f t="shared" si="2"/>
        <v>_</v>
      </c>
      <c r="D104" t="s">
        <v>11</v>
      </c>
      <c r="E104" t="str">
        <f t="shared" si="3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488</v>
      </c>
      <c r="B105" t="s">
        <v>202</v>
      </c>
      <c r="C105" t="str">
        <f t="shared" si="2"/>
        <v>_</v>
      </c>
      <c r="D105" t="s">
        <v>11</v>
      </c>
      <c r="E105" t="str">
        <f t="shared" si="3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489</v>
      </c>
      <c r="B106" t="s">
        <v>213</v>
      </c>
      <c r="C106" t="str">
        <f t="shared" si="2"/>
        <v>_</v>
      </c>
      <c r="D106" t="s">
        <v>11</v>
      </c>
      <c r="E106" t="str">
        <f t="shared" si="3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490</v>
      </c>
      <c r="B107" t="s">
        <v>263</v>
      </c>
      <c r="C107" t="str">
        <f t="shared" si="2"/>
        <v>_</v>
      </c>
      <c r="D107" t="s">
        <v>11</v>
      </c>
      <c r="E107" t="str">
        <f t="shared" si="3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491</v>
      </c>
      <c r="B108" t="s">
        <v>212</v>
      </c>
      <c r="C108" t="str">
        <f t="shared" si="2"/>
        <v>_</v>
      </c>
      <c r="D108" t="s">
        <v>11</v>
      </c>
      <c r="E108" t="str">
        <f t="shared" si="3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492</v>
      </c>
      <c r="B109" t="s">
        <v>220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493</v>
      </c>
      <c r="B110" t="s">
        <v>229</v>
      </c>
      <c r="C110" t="str">
        <f t="shared" si="2"/>
        <v>_</v>
      </c>
      <c r="D110" t="s">
        <v>11</v>
      </c>
      <c r="E110" t="str">
        <f t="shared" si="3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494</v>
      </c>
      <c r="B111" t="s">
        <v>604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495</v>
      </c>
      <c r="B112" t="s">
        <v>605</v>
      </c>
      <c r="C112" t="str">
        <f t="shared" si="2"/>
        <v>_</v>
      </c>
      <c r="D112" t="s">
        <v>11</v>
      </c>
      <c r="E112" t="str">
        <f t="shared" si="3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496</v>
      </c>
      <c r="B113" t="s">
        <v>215</v>
      </c>
      <c r="C113" t="str">
        <f t="shared" si="2"/>
        <v>_</v>
      </c>
      <c r="D113" t="s">
        <v>11</v>
      </c>
      <c r="E113" t="str">
        <f t="shared" si="3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497</v>
      </c>
      <c r="B114" t="s">
        <v>265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498</v>
      </c>
      <c r="B115" t="s">
        <v>266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499</v>
      </c>
      <c r="B116" t="s">
        <v>267</v>
      </c>
      <c r="C116" t="str">
        <f t="shared" si="2"/>
        <v>_</v>
      </c>
      <c r="D116" t="s">
        <v>11</v>
      </c>
      <c r="E116" t="str">
        <f t="shared" si="3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500</v>
      </c>
      <c r="B117" t="s">
        <v>202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501</v>
      </c>
      <c r="B118" t="s">
        <v>268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502</v>
      </c>
      <c r="B119" t="s">
        <v>204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503</v>
      </c>
      <c r="B120" t="s">
        <v>202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504</v>
      </c>
      <c r="B121" t="s">
        <v>269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505</v>
      </c>
      <c r="B122" t="s">
        <v>220</v>
      </c>
      <c r="C122" t="str">
        <f t="shared" si="2"/>
        <v>_</v>
      </c>
      <c r="D122" t="s">
        <v>11</v>
      </c>
      <c r="E122" t="str">
        <f t="shared" si="3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506</v>
      </c>
      <c r="B123" t="s">
        <v>606</v>
      </c>
      <c r="C123" t="str">
        <f t="shared" si="2"/>
        <v>Linguistic Convention</v>
      </c>
      <c r="D123" t="s">
        <v>296</v>
      </c>
      <c r="E123" t="str">
        <f t="shared" si="3"/>
        <v>Spelling</v>
      </c>
      <c r="F123" t="s">
        <v>196</v>
      </c>
      <c r="G123" t="s">
        <v>625</v>
      </c>
      <c r="H123" t="s">
        <v>196</v>
      </c>
      <c r="I123" t="s">
        <v>622</v>
      </c>
      <c r="J123" t="s">
        <v>634</v>
      </c>
    </row>
    <row r="124" spans="1:10" x14ac:dyDescent="0.3">
      <c r="A124" t="s">
        <v>507</v>
      </c>
      <c r="B124" t="s">
        <v>229</v>
      </c>
      <c r="C124" t="str">
        <f t="shared" si="2"/>
        <v>_</v>
      </c>
      <c r="D124" t="s">
        <v>11</v>
      </c>
      <c r="E124" t="str">
        <f t="shared" si="3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508</v>
      </c>
      <c r="B125" t="s">
        <v>590</v>
      </c>
      <c r="C125" t="str">
        <f t="shared" si="2"/>
        <v>_</v>
      </c>
      <c r="D125" t="s">
        <v>11</v>
      </c>
      <c r="E125" t="str">
        <f t="shared" si="3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509</v>
      </c>
      <c r="B126" t="s">
        <v>220</v>
      </c>
      <c r="C126" t="str">
        <f t="shared" si="2"/>
        <v>_</v>
      </c>
      <c r="D126" t="s">
        <v>11</v>
      </c>
      <c r="E126" t="str">
        <f t="shared" si="3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510</v>
      </c>
      <c r="B127" t="s">
        <v>270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511</v>
      </c>
      <c r="B128" t="s">
        <v>204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512</v>
      </c>
      <c r="B129" t="s">
        <v>607</v>
      </c>
      <c r="C129" t="str">
        <f t="shared" si="2"/>
        <v>Linguistic Convention</v>
      </c>
      <c r="D129" t="s">
        <v>296</v>
      </c>
      <c r="E129" t="str">
        <f t="shared" si="3"/>
        <v>Grammar</v>
      </c>
      <c r="F129" t="s">
        <v>196</v>
      </c>
      <c r="G129" t="s">
        <v>305</v>
      </c>
      <c r="H129" t="s">
        <v>196</v>
      </c>
      <c r="I129" t="s">
        <v>306</v>
      </c>
      <c r="J129" t="s">
        <v>635</v>
      </c>
    </row>
    <row r="130" spans="1:10" x14ac:dyDescent="0.3">
      <c r="A130" t="s">
        <v>513</v>
      </c>
      <c r="B130" t="s">
        <v>229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514</v>
      </c>
      <c r="B131" t="s">
        <v>590</v>
      </c>
      <c r="C131" t="str">
        <f t="shared" ref="C131:C194" si="4">IFERROR(LEFT(D131, FIND("[", D131)-1), D131)</f>
        <v>_</v>
      </c>
      <c r="D131" t="s">
        <v>11</v>
      </c>
      <c r="E131" t="str">
        <f t="shared" ref="E131:E194" si="5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515</v>
      </c>
      <c r="B132" t="s">
        <v>250</v>
      </c>
      <c r="C132" t="str">
        <f t="shared" si="4"/>
        <v>_</v>
      </c>
      <c r="D132" t="s">
        <v>11</v>
      </c>
      <c r="E132" t="str">
        <f t="shared" si="5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516</v>
      </c>
      <c r="B133" t="s">
        <v>608</v>
      </c>
      <c r="C133" t="str">
        <f t="shared" si="4"/>
        <v>_</v>
      </c>
      <c r="D133" t="s">
        <v>11</v>
      </c>
      <c r="E133" t="str">
        <f t="shared" si="5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t="s">
        <v>517</v>
      </c>
      <c r="B134" t="s">
        <v>362</v>
      </c>
      <c r="C134" t="str">
        <f t="shared" si="4"/>
        <v>_</v>
      </c>
      <c r="D134" t="s">
        <v>11</v>
      </c>
      <c r="E134" t="str">
        <f t="shared" si="5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518</v>
      </c>
      <c r="B135" t="s">
        <v>273</v>
      </c>
      <c r="C135" t="str">
        <f t="shared" si="4"/>
        <v>_</v>
      </c>
      <c r="D135" t="s">
        <v>11</v>
      </c>
      <c r="E135" t="str">
        <f t="shared" si="5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519</v>
      </c>
      <c r="B136" t="s">
        <v>215</v>
      </c>
      <c r="C136" t="str">
        <f t="shared" si="4"/>
        <v>_</v>
      </c>
      <c r="D136" t="s">
        <v>11</v>
      </c>
      <c r="E136" t="str">
        <f t="shared" si="5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520</v>
      </c>
      <c r="B137" t="s">
        <v>198</v>
      </c>
      <c r="C137" t="str">
        <f t="shared" si="4"/>
        <v>_</v>
      </c>
      <c r="D137" t="s">
        <v>11</v>
      </c>
      <c r="E137" t="str">
        <f t="shared" si="5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521</v>
      </c>
      <c r="B138" t="s">
        <v>199</v>
      </c>
      <c r="C138" t="str">
        <f t="shared" si="4"/>
        <v>_</v>
      </c>
      <c r="D138" t="s">
        <v>11</v>
      </c>
      <c r="E138" t="str">
        <f t="shared" si="5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522</v>
      </c>
      <c r="B139" t="s">
        <v>200</v>
      </c>
      <c r="C139" t="str">
        <f t="shared" si="4"/>
        <v>_</v>
      </c>
      <c r="D139" t="s">
        <v>11</v>
      </c>
      <c r="E139" t="str">
        <f t="shared" si="5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523</v>
      </c>
      <c r="B140" t="s">
        <v>274</v>
      </c>
      <c r="C140" t="str">
        <f t="shared" si="4"/>
        <v>_</v>
      </c>
      <c r="D140" t="s">
        <v>11</v>
      </c>
      <c r="E140" t="str">
        <f t="shared" si="5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524</v>
      </c>
      <c r="B141" t="s">
        <v>279</v>
      </c>
      <c r="C141" t="str">
        <f t="shared" si="4"/>
        <v>_</v>
      </c>
      <c r="D141" t="s">
        <v>11</v>
      </c>
      <c r="E141" t="str">
        <f t="shared" si="5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525</v>
      </c>
      <c r="B142" t="s">
        <v>237</v>
      </c>
      <c r="C142" t="str">
        <f t="shared" si="4"/>
        <v>_</v>
      </c>
      <c r="D142" t="s">
        <v>11</v>
      </c>
      <c r="E142" t="str">
        <f t="shared" si="5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526</v>
      </c>
      <c r="B143" t="s">
        <v>363</v>
      </c>
      <c r="C143" t="str">
        <f t="shared" si="4"/>
        <v>_</v>
      </c>
      <c r="D143" t="s">
        <v>11</v>
      </c>
      <c r="E143" t="str">
        <f t="shared" si="5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527</v>
      </c>
      <c r="B144" t="s">
        <v>279</v>
      </c>
      <c r="C144" t="str">
        <f t="shared" si="4"/>
        <v>_</v>
      </c>
      <c r="D144" t="s">
        <v>11</v>
      </c>
      <c r="E144" t="str">
        <f t="shared" si="5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528</v>
      </c>
      <c r="B145" t="s">
        <v>364</v>
      </c>
      <c r="C145" t="str">
        <f t="shared" si="4"/>
        <v>_</v>
      </c>
      <c r="D145" t="s">
        <v>11</v>
      </c>
      <c r="E145" t="str">
        <f t="shared" si="5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529</v>
      </c>
      <c r="B146" t="s">
        <v>204</v>
      </c>
      <c r="C146" t="str">
        <f t="shared" si="4"/>
        <v>_</v>
      </c>
      <c r="D146" t="s">
        <v>11</v>
      </c>
      <c r="E146" t="str">
        <f t="shared" si="5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530</v>
      </c>
      <c r="B147" t="s">
        <v>220</v>
      </c>
      <c r="C147" t="str">
        <f t="shared" si="4"/>
        <v>_</v>
      </c>
      <c r="D147" t="s">
        <v>11</v>
      </c>
      <c r="E147" t="str">
        <f t="shared" si="5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531</v>
      </c>
      <c r="B148" t="s">
        <v>276</v>
      </c>
      <c r="C148" t="str">
        <f t="shared" si="4"/>
        <v>_</v>
      </c>
      <c r="D148" t="s">
        <v>11</v>
      </c>
      <c r="E148" t="str">
        <f t="shared" si="5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532</v>
      </c>
      <c r="B149" t="s">
        <v>229</v>
      </c>
      <c r="C149" t="str">
        <f t="shared" si="4"/>
        <v>_</v>
      </c>
      <c r="D149" t="s">
        <v>11</v>
      </c>
      <c r="E149" t="str">
        <f t="shared" si="5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533</v>
      </c>
      <c r="B150" t="s">
        <v>609</v>
      </c>
      <c r="C150" t="str">
        <f t="shared" si="4"/>
        <v>Style</v>
      </c>
      <c r="D150" t="s">
        <v>380</v>
      </c>
      <c r="E150" t="str">
        <f t="shared" si="5"/>
        <v>Unidiomatic style</v>
      </c>
      <c r="F150" t="s">
        <v>196</v>
      </c>
      <c r="G150" t="s">
        <v>196</v>
      </c>
      <c r="H150" t="s">
        <v>307</v>
      </c>
      <c r="I150" t="s">
        <v>622</v>
      </c>
      <c r="J150" t="s">
        <v>318</v>
      </c>
    </row>
    <row r="151" spans="1:10" x14ac:dyDescent="0.3">
      <c r="A151" t="s">
        <v>534</v>
      </c>
      <c r="B151" t="s">
        <v>272</v>
      </c>
      <c r="C151" t="str">
        <f t="shared" si="4"/>
        <v>Style</v>
      </c>
      <c r="D151" t="s">
        <v>380</v>
      </c>
      <c r="E151" t="str">
        <f t="shared" si="5"/>
        <v>Unidiomatic style</v>
      </c>
      <c r="F151" t="s">
        <v>196</v>
      </c>
      <c r="G151" t="s">
        <v>196</v>
      </c>
      <c r="H151" t="s">
        <v>307</v>
      </c>
      <c r="I151" t="s">
        <v>622</v>
      </c>
      <c r="J151" t="s">
        <v>318</v>
      </c>
    </row>
    <row r="152" spans="1:10" x14ac:dyDescent="0.3">
      <c r="A152" t="s">
        <v>535</v>
      </c>
      <c r="B152" t="s">
        <v>278</v>
      </c>
      <c r="C152" t="str">
        <f t="shared" si="4"/>
        <v>Style</v>
      </c>
      <c r="D152" t="s">
        <v>380</v>
      </c>
      <c r="E152" t="str">
        <f t="shared" si="5"/>
        <v>Unidiomatic style</v>
      </c>
      <c r="F152" t="s">
        <v>196</v>
      </c>
      <c r="G152" t="s">
        <v>196</v>
      </c>
      <c r="H152" t="s">
        <v>307</v>
      </c>
      <c r="I152" t="s">
        <v>622</v>
      </c>
      <c r="J152" t="s">
        <v>318</v>
      </c>
    </row>
    <row r="153" spans="1:10" x14ac:dyDescent="0.3">
      <c r="A153" t="s">
        <v>536</v>
      </c>
      <c r="B153" t="s">
        <v>213</v>
      </c>
      <c r="C153" t="str">
        <f t="shared" si="4"/>
        <v>_</v>
      </c>
      <c r="D153" t="s">
        <v>11</v>
      </c>
      <c r="E153" t="str">
        <f t="shared" si="5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537</v>
      </c>
      <c r="B154" t="s">
        <v>279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538</v>
      </c>
      <c r="B155" t="s">
        <v>610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539</v>
      </c>
      <c r="B156" t="s">
        <v>199</v>
      </c>
      <c r="C156" t="str">
        <f t="shared" si="4"/>
        <v>_</v>
      </c>
      <c r="D156" t="s">
        <v>11</v>
      </c>
      <c r="E156" t="str">
        <f t="shared" si="5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540</v>
      </c>
      <c r="B157" t="s">
        <v>215</v>
      </c>
      <c r="C157" t="str">
        <f t="shared" si="4"/>
        <v>_</v>
      </c>
      <c r="D157" t="s">
        <v>11</v>
      </c>
      <c r="E157" t="str">
        <f t="shared" si="5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541</v>
      </c>
      <c r="B158" t="s">
        <v>265</v>
      </c>
      <c r="C158" t="str">
        <f t="shared" si="4"/>
        <v>_</v>
      </c>
      <c r="D158" t="s">
        <v>11</v>
      </c>
      <c r="E158" t="str">
        <f t="shared" si="5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542</v>
      </c>
      <c r="B159" t="s">
        <v>611</v>
      </c>
      <c r="C159" t="str">
        <f t="shared" si="4"/>
        <v>_</v>
      </c>
      <c r="D159" t="s">
        <v>11</v>
      </c>
      <c r="E159" t="str">
        <f t="shared" si="5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543</v>
      </c>
      <c r="B160" t="s">
        <v>282</v>
      </c>
      <c r="C160" t="str">
        <f t="shared" si="4"/>
        <v>_</v>
      </c>
      <c r="D160" t="s">
        <v>11</v>
      </c>
      <c r="E160" t="str">
        <f t="shared" si="5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544</v>
      </c>
      <c r="B161" t="s">
        <v>369</v>
      </c>
      <c r="C161" t="str">
        <f t="shared" si="4"/>
        <v>_</v>
      </c>
      <c r="D161" t="s">
        <v>11</v>
      </c>
      <c r="E161" t="str">
        <f t="shared" si="5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545</v>
      </c>
      <c r="B162" t="s">
        <v>370</v>
      </c>
      <c r="C162" t="str">
        <f t="shared" si="4"/>
        <v>_</v>
      </c>
      <c r="D162" t="s">
        <v>11</v>
      </c>
      <c r="E162" t="str">
        <f t="shared" si="5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546</v>
      </c>
      <c r="B163" t="s">
        <v>241</v>
      </c>
      <c r="C163" t="str">
        <f t="shared" si="4"/>
        <v>_</v>
      </c>
      <c r="D163" t="s">
        <v>11</v>
      </c>
      <c r="E163" t="str">
        <f t="shared" si="5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547</v>
      </c>
      <c r="B164" t="s">
        <v>202</v>
      </c>
      <c r="C164" t="str">
        <f t="shared" si="4"/>
        <v>_</v>
      </c>
      <c r="D164" t="s">
        <v>11</v>
      </c>
      <c r="E164" t="str">
        <f t="shared" si="5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548</v>
      </c>
      <c r="B165" t="s">
        <v>612</v>
      </c>
      <c r="C165" t="str">
        <f t="shared" si="4"/>
        <v>_</v>
      </c>
      <c r="D165" t="s">
        <v>11</v>
      </c>
      <c r="E165" t="str">
        <f t="shared" si="5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549</v>
      </c>
      <c r="B166" t="s">
        <v>285</v>
      </c>
      <c r="C166" t="str">
        <f t="shared" si="4"/>
        <v>_</v>
      </c>
      <c r="D166" t="s">
        <v>11</v>
      </c>
      <c r="E166" t="str">
        <f t="shared" si="5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550</v>
      </c>
      <c r="B167" t="s">
        <v>220</v>
      </c>
      <c r="C167" t="str">
        <f t="shared" si="4"/>
        <v>_</v>
      </c>
      <c r="D167" t="s">
        <v>11</v>
      </c>
      <c r="E167" t="str">
        <f t="shared" si="5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551</v>
      </c>
      <c r="B168" t="s">
        <v>229</v>
      </c>
      <c r="C168" t="str">
        <f t="shared" si="4"/>
        <v>_</v>
      </c>
      <c r="D168" t="s">
        <v>11</v>
      </c>
      <c r="E168" t="str">
        <f t="shared" si="5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t="s">
        <v>552</v>
      </c>
      <c r="B169" t="s">
        <v>202</v>
      </c>
      <c r="C169" t="str">
        <f t="shared" si="4"/>
        <v>_</v>
      </c>
      <c r="D169" t="s">
        <v>11</v>
      </c>
      <c r="E169" t="str">
        <f t="shared" si="5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t="s">
        <v>553</v>
      </c>
      <c r="B170" t="s">
        <v>213</v>
      </c>
      <c r="C170" t="str">
        <f t="shared" si="4"/>
        <v>_</v>
      </c>
      <c r="D170" t="s">
        <v>11</v>
      </c>
      <c r="E170" t="str">
        <f t="shared" si="5"/>
        <v>_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3">
      <c r="A171" t="s">
        <v>554</v>
      </c>
      <c r="B171" t="s">
        <v>613</v>
      </c>
      <c r="C171" t="str">
        <f t="shared" si="4"/>
        <v>_</v>
      </c>
      <c r="D171" t="s">
        <v>11</v>
      </c>
      <c r="E171" t="str">
        <f t="shared" si="5"/>
        <v>_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3">
      <c r="A172" t="s">
        <v>555</v>
      </c>
      <c r="B172" t="s">
        <v>286</v>
      </c>
      <c r="C172" t="str">
        <f t="shared" si="4"/>
        <v>Accuracy</v>
      </c>
      <c r="D172" t="s">
        <v>376</v>
      </c>
      <c r="E172" t="str">
        <f t="shared" si="5"/>
        <v>Mistranslation</v>
      </c>
      <c r="F172" t="s">
        <v>623</v>
      </c>
      <c r="G172" t="s">
        <v>196</v>
      </c>
      <c r="H172" t="s">
        <v>196</v>
      </c>
      <c r="I172" t="s">
        <v>622</v>
      </c>
      <c r="J172" t="s">
        <v>636</v>
      </c>
    </row>
    <row r="173" spans="1:10" x14ac:dyDescent="0.3">
      <c r="A173" t="s">
        <v>556</v>
      </c>
      <c r="B173" t="s">
        <v>215</v>
      </c>
      <c r="C173" t="str">
        <f t="shared" si="4"/>
        <v>_</v>
      </c>
      <c r="D173" t="s">
        <v>11</v>
      </c>
      <c r="E173" t="str">
        <f t="shared" si="5"/>
        <v>_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</row>
    <row r="174" spans="1:10" x14ac:dyDescent="0.3">
      <c r="A174" t="s">
        <v>557</v>
      </c>
      <c r="B174" t="s">
        <v>198</v>
      </c>
      <c r="C174" t="str">
        <f t="shared" si="4"/>
        <v>_</v>
      </c>
      <c r="D174" t="s">
        <v>11</v>
      </c>
      <c r="E174" t="str">
        <f t="shared" si="5"/>
        <v>_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3">
      <c r="A175" t="s">
        <v>558</v>
      </c>
      <c r="B175" t="s">
        <v>373</v>
      </c>
      <c r="C175" t="str">
        <f t="shared" si="4"/>
        <v>_</v>
      </c>
      <c r="D175" t="s">
        <v>11</v>
      </c>
      <c r="E175" t="str">
        <f t="shared" si="5"/>
        <v>_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3">
      <c r="A176" t="s">
        <v>559</v>
      </c>
      <c r="B176" t="s">
        <v>200</v>
      </c>
      <c r="C176" t="str">
        <f t="shared" si="4"/>
        <v>_</v>
      </c>
      <c r="D176" t="s">
        <v>11</v>
      </c>
      <c r="E176" t="str">
        <f t="shared" si="5"/>
        <v>_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3">
      <c r="A177" t="s">
        <v>560</v>
      </c>
      <c r="B177" t="s">
        <v>288</v>
      </c>
      <c r="C177" t="str">
        <f t="shared" si="4"/>
        <v>_</v>
      </c>
      <c r="D177" t="s">
        <v>11</v>
      </c>
      <c r="E177" t="str">
        <f t="shared" si="5"/>
        <v>_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3">
      <c r="A178" t="s">
        <v>561</v>
      </c>
      <c r="B178" t="s">
        <v>202</v>
      </c>
      <c r="C178" t="str">
        <f t="shared" si="4"/>
        <v>_</v>
      </c>
      <c r="D178" t="s">
        <v>11</v>
      </c>
      <c r="E178" t="str">
        <f t="shared" si="5"/>
        <v>_</v>
      </c>
      <c r="F178" t="s">
        <v>11</v>
      </c>
      <c r="G178" t="s">
        <v>11</v>
      </c>
      <c r="H178" t="s">
        <v>11</v>
      </c>
      <c r="I178" t="s">
        <v>11</v>
      </c>
      <c r="J178" t="s">
        <v>11</v>
      </c>
    </row>
    <row r="179" spans="1:10" x14ac:dyDescent="0.3">
      <c r="A179" t="s">
        <v>562</v>
      </c>
      <c r="B179" t="s">
        <v>287</v>
      </c>
      <c r="C179" t="str">
        <f t="shared" si="4"/>
        <v>_</v>
      </c>
      <c r="D179" t="s">
        <v>11</v>
      </c>
      <c r="E179" t="str">
        <f t="shared" si="5"/>
        <v>_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</row>
    <row r="180" spans="1:10" x14ac:dyDescent="0.3">
      <c r="A180" t="s">
        <v>563</v>
      </c>
      <c r="B180" t="s">
        <v>215</v>
      </c>
      <c r="C180" t="str">
        <f t="shared" si="4"/>
        <v>_</v>
      </c>
      <c r="D180" t="s">
        <v>11</v>
      </c>
      <c r="E180" t="str">
        <f t="shared" si="5"/>
        <v>_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</row>
    <row r="181" spans="1:10" x14ac:dyDescent="0.3">
      <c r="A181" t="s">
        <v>564</v>
      </c>
      <c r="B181" t="s">
        <v>289</v>
      </c>
      <c r="C181" t="str">
        <f t="shared" si="4"/>
        <v>_</v>
      </c>
      <c r="D181" t="s">
        <v>11</v>
      </c>
      <c r="E181" t="str">
        <f t="shared" si="5"/>
        <v>_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</row>
    <row r="182" spans="1:10" x14ac:dyDescent="0.3">
      <c r="A182" t="s">
        <v>565</v>
      </c>
      <c r="B182" t="s">
        <v>290</v>
      </c>
      <c r="C182" t="str">
        <f t="shared" si="4"/>
        <v>_</v>
      </c>
      <c r="D182" t="s">
        <v>11</v>
      </c>
      <c r="E182" t="str">
        <f t="shared" si="5"/>
        <v>_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  <row r="183" spans="1:10" x14ac:dyDescent="0.3">
      <c r="A183" t="s">
        <v>566</v>
      </c>
      <c r="B183" t="s">
        <v>614</v>
      </c>
      <c r="C183" t="str">
        <f t="shared" si="4"/>
        <v>Style</v>
      </c>
      <c r="D183" t="s">
        <v>620</v>
      </c>
      <c r="E183" t="str">
        <f t="shared" si="5"/>
        <v>Register</v>
      </c>
      <c r="F183" t="s">
        <v>196</v>
      </c>
      <c r="G183" t="s">
        <v>196</v>
      </c>
      <c r="H183" t="s">
        <v>624</v>
      </c>
      <c r="I183" t="s">
        <v>622</v>
      </c>
      <c r="J183" t="s">
        <v>637</v>
      </c>
    </row>
    <row r="184" spans="1:10" x14ac:dyDescent="0.3">
      <c r="A184" t="s">
        <v>567</v>
      </c>
      <c r="B184" t="s">
        <v>292</v>
      </c>
      <c r="C184" t="str">
        <f t="shared" si="4"/>
        <v>_</v>
      </c>
      <c r="D184" t="s">
        <v>11</v>
      </c>
      <c r="E184" t="str">
        <f t="shared" si="5"/>
        <v>_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</row>
    <row r="185" spans="1:10" x14ac:dyDescent="0.3">
      <c r="A185" t="s">
        <v>568</v>
      </c>
      <c r="B185" t="s">
        <v>220</v>
      </c>
      <c r="C185" t="str">
        <f t="shared" si="4"/>
        <v>_</v>
      </c>
      <c r="D185" t="s">
        <v>11</v>
      </c>
      <c r="E185" t="str">
        <f t="shared" si="5"/>
        <v>_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 x14ac:dyDescent="0.3">
      <c r="A186" t="s">
        <v>569</v>
      </c>
      <c r="B186" t="s">
        <v>293</v>
      </c>
      <c r="C186" t="str">
        <f t="shared" si="4"/>
        <v>_</v>
      </c>
      <c r="D186" t="s">
        <v>11</v>
      </c>
      <c r="E186" t="str">
        <f t="shared" si="5"/>
        <v>_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</row>
    <row r="187" spans="1:10" x14ac:dyDescent="0.3">
      <c r="A187" t="s">
        <v>570</v>
      </c>
      <c r="B187" t="s">
        <v>215</v>
      </c>
      <c r="C187" t="str">
        <f t="shared" si="4"/>
        <v>_</v>
      </c>
      <c r="D187" t="s">
        <v>11</v>
      </c>
      <c r="E187" t="str">
        <f t="shared" si="5"/>
        <v>_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</row>
    <row r="188" spans="1:10" x14ac:dyDescent="0.3">
      <c r="A188" t="s">
        <v>571</v>
      </c>
      <c r="B188" t="s">
        <v>615</v>
      </c>
      <c r="C188" t="str">
        <f t="shared" si="4"/>
        <v>Accuracy</v>
      </c>
      <c r="D188" t="s">
        <v>621</v>
      </c>
      <c r="E188" t="str">
        <f t="shared" si="5"/>
        <v>Addition</v>
      </c>
      <c r="F188" t="s">
        <v>626</v>
      </c>
      <c r="G188" t="s">
        <v>196</v>
      </c>
      <c r="H188" t="s">
        <v>196</v>
      </c>
      <c r="I188" t="s">
        <v>622</v>
      </c>
      <c r="J188" t="s">
        <v>638</v>
      </c>
    </row>
    <row r="189" spans="1:10" x14ac:dyDescent="0.3">
      <c r="A189" t="s">
        <v>572</v>
      </c>
      <c r="B189" t="s">
        <v>616</v>
      </c>
      <c r="C189" t="str">
        <f t="shared" si="4"/>
        <v>Accuracy</v>
      </c>
      <c r="D189" t="s">
        <v>621</v>
      </c>
      <c r="E189" t="str">
        <f t="shared" si="5"/>
        <v>Addition</v>
      </c>
      <c r="F189" t="s">
        <v>626</v>
      </c>
      <c r="G189" t="s">
        <v>196</v>
      </c>
      <c r="H189" t="s">
        <v>196</v>
      </c>
      <c r="I189" t="s">
        <v>622</v>
      </c>
      <c r="J189" t="s">
        <v>638</v>
      </c>
    </row>
    <row r="190" spans="1:10" x14ac:dyDescent="0.3">
      <c r="A190" t="s">
        <v>573</v>
      </c>
      <c r="B190" t="s">
        <v>252</v>
      </c>
      <c r="C190" t="str">
        <f t="shared" si="4"/>
        <v>Accuracy</v>
      </c>
      <c r="D190" t="s">
        <v>621</v>
      </c>
      <c r="E190" t="str">
        <f t="shared" si="5"/>
        <v>Addition</v>
      </c>
      <c r="F190" t="s">
        <v>626</v>
      </c>
      <c r="G190" t="s">
        <v>196</v>
      </c>
      <c r="H190" t="s">
        <v>196</v>
      </c>
      <c r="I190" t="s">
        <v>622</v>
      </c>
      <c r="J190" t="s">
        <v>638</v>
      </c>
    </row>
    <row r="191" spans="1:10" x14ac:dyDescent="0.3">
      <c r="A191" t="s">
        <v>574</v>
      </c>
      <c r="B191" t="s">
        <v>207</v>
      </c>
      <c r="C191" t="str">
        <f t="shared" si="4"/>
        <v>_</v>
      </c>
      <c r="D191" t="s">
        <v>11</v>
      </c>
      <c r="E191" t="str">
        <f t="shared" si="5"/>
        <v>_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</row>
    <row r="192" spans="1:10" x14ac:dyDescent="0.3">
      <c r="A192" t="s">
        <v>575</v>
      </c>
      <c r="B192" t="s">
        <v>617</v>
      </c>
      <c r="C192" t="str">
        <f t="shared" si="4"/>
        <v>_</v>
      </c>
      <c r="D192" t="s">
        <v>11</v>
      </c>
      <c r="E192" t="str">
        <f t="shared" si="5"/>
        <v>_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</row>
    <row r="193" spans="1:10" x14ac:dyDescent="0.3">
      <c r="A193" t="s">
        <v>576</v>
      </c>
      <c r="B193" t="s">
        <v>210</v>
      </c>
      <c r="C193" t="str">
        <f t="shared" si="4"/>
        <v>_</v>
      </c>
      <c r="D193" t="s">
        <v>11</v>
      </c>
      <c r="E193" t="str">
        <f t="shared" si="5"/>
        <v>_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</row>
    <row r="194" spans="1:10" x14ac:dyDescent="0.3">
      <c r="A194" t="s">
        <v>577</v>
      </c>
      <c r="B194" t="s">
        <v>202</v>
      </c>
      <c r="C194" t="str">
        <f t="shared" si="4"/>
        <v>_</v>
      </c>
      <c r="D194" t="s">
        <v>11</v>
      </c>
      <c r="E194" t="str">
        <f t="shared" si="5"/>
        <v>_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</row>
    <row r="195" spans="1:10" x14ac:dyDescent="0.3">
      <c r="A195" t="s">
        <v>578</v>
      </c>
      <c r="B195" t="s">
        <v>588</v>
      </c>
      <c r="C195" t="str">
        <f t="shared" ref="C195:C199" si="6">IFERROR(LEFT(D195, FIND("[", D195)-1), D195)</f>
        <v>_</v>
      </c>
      <c r="D195" t="s">
        <v>11</v>
      </c>
      <c r="E195" t="str">
        <f t="shared" ref="E195:E199" si="7">IF(F195="", "", IF(F195="*",IF(G195="*", IF(H195="*", "check", H195), G195), F195))</f>
        <v>_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</row>
    <row r="196" spans="1:10" x14ac:dyDescent="0.3">
      <c r="A196" t="s">
        <v>579</v>
      </c>
      <c r="B196" t="s">
        <v>212</v>
      </c>
      <c r="C196" t="str">
        <f t="shared" si="6"/>
        <v>_</v>
      </c>
      <c r="D196" t="s">
        <v>11</v>
      </c>
      <c r="E196" t="str">
        <f t="shared" si="7"/>
        <v>_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</row>
    <row r="197" spans="1:10" x14ac:dyDescent="0.3">
      <c r="A197" t="s">
        <v>580</v>
      </c>
      <c r="B197" t="s">
        <v>213</v>
      </c>
      <c r="C197" t="str">
        <f t="shared" si="6"/>
        <v>_</v>
      </c>
      <c r="D197" t="s">
        <v>11</v>
      </c>
      <c r="E197" t="str">
        <f t="shared" si="7"/>
        <v>_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</row>
    <row r="198" spans="1:10" x14ac:dyDescent="0.3">
      <c r="A198" t="s">
        <v>581</v>
      </c>
      <c r="B198" t="s">
        <v>214</v>
      </c>
      <c r="C198" t="str">
        <f t="shared" si="6"/>
        <v>_</v>
      </c>
      <c r="D198" t="s">
        <v>11</v>
      </c>
      <c r="E198" t="str">
        <f t="shared" si="7"/>
        <v>_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</row>
    <row r="199" spans="1:10" x14ac:dyDescent="0.3">
      <c r="A199" t="s">
        <v>582</v>
      </c>
      <c r="B199" t="s">
        <v>215</v>
      </c>
      <c r="C199" t="str">
        <f t="shared" si="6"/>
        <v>_</v>
      </c>
      <c r="D199" t="s">
        <v>11</v>
      </c>
      <c r="E199" t="str">
        <f t="shared" si="7"/>
        <v>_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AC79-32F4-45CC-A989-FFC35094C978}">
  <dimension ref="A1:J186"/>
  <sheetViews>
    <sheetView tabSelected="1" workbookViewId="0">
      <selection activeCell="E9" sqref="E9"/>
    </sheetView>
  </sheetViews>
  <sheetFormatPr defaultRowHeight="14.4" x14ac:dyDescent="0.3"/>
  <cols>
    <col min="1" max="1" width="10.33203125" bestFit="1" customWidth="1"/>
    <col min="2" max="2" width="13.44140625" bestFit="1" customWidth="1"/>
    <col min="3" max="3" width="18.109375" bestFit="1" customWidth="1"/>
    <col min="4" max="4" width="18.109375" customWidth="1"/>
    <col min="5" max="5" width="14.7773437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2.88671875" bestFit="1" customWidth="1"/>
    <col min="10" max="10" width="8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196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196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197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196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196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198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17</v>
      </c>
      <c r="B8" t="s">
        <v>199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18</v>
      </c>
      <c r="B9" t="s">
        <v>200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19</v>
      </c>
      <c r="B10" t="s">
        <v>201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20</v>
      </c>
      <c r="B11" t="s">
        <v>202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21</v>
      </c>
      <c r="B12" t="s">
        <v>203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22</v>
      </c>
      <c r="B13" t="s">
        <v>204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23</v>
      </c>
      <c r="B14" t="s">
        <v>202</v>
      </c>
      <c r="C14" t="str">
        <f t="shared" si="0"/>
        <v>_</v>
      </c>
      <c r="D14" t="s">
        <v>11</v>
      </c>
      <c r="E14" t="str">
        <f t="shared" si="1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24</v>
      </c>
      <c r="B15" t="s">
        <v>205</v>
      </c>
      <c r="C15" t="str">
        <f t="shared" si="0"/>
        <v>_</v>
      </c>
      <c r="D15" t="s">
        <v>11</v>
      </c>
      <c r="E15" t="str">
        <f t="shared" si="1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25</v>
      </c>
      <c r="B16" t="s">
        <v>206</v>
      </c>
      <c r="C16" t="str">
        <f t="shared" si="0"/>
        <v>_</v>
      </c>
      <c r="D16" t="s">
        <v>11</v>
      </c>
      <c r="E16" t="str">
        <f t="shared" si="1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26</v>
      </c>
      <c r="B17" t="s">
        <v>207</v>
      </c>
      <c r="C17" t="str">
        <f t="shared" si="0"/>
        <v>_</v>
      </c>
      <c r="D17" t="s">
        <v>11</v>
      </c>
      <c r="E17" t="str">
        <f t="shared" si="1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27</v>
      </c>
      <c r="B18" t="s">
        <v>208</v>
      </c>
      <c r="C18" t="str">
        <f t="shared" si="0"/>
        <v>_</v>
      </c>
      <c r="D18" t="s">
        <v>11</v>
      </c>
      <c r="E18" t="str">
        <f t="shared" si="1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28</v>
      </c>
      <c r="B19" t="s">
        <v>209</v>
      </c>
      <c r="C19" t="str">
        <f t="shared" si="0"/>
        <v>_</v>
      </c>
      <c r="D19" t="s">
        <v>11</v>
      </c>
      <c r="E19" t="str">
        <f t="shared" si="1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29</v>
      </c>
      <c r="B20" t="s">
        <v>210</v>
      </c>
      <c r="C20" t="str">
        <f t="shared" si="0"/>
        <v>_</v>
      </c>
      <c r="D20" t="s">
        <v>11</v>
      </c>
      <c r="E20" t="str">
        <f t="shared" si="1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30</v>
      </c>
      <c r="B21" t="s">
        <v>202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31</v>
      </c>
      <c r="B22" t="s">
        <v>211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32</v>
      </c>
      <c r="B23" t="s">
        <v>212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33</v>
      </c>
      <c r="B24" t="s">
        <v>213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34</v>
      </c>
      <c r="B25" t="s">
        <v>214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35</v>
      </c>
      <c r="B26" t="s">
        <v>215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t="s">
        <v>36</v>
      </c>
      <c r="B27" t="s">
        <v>216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37</v>
      </c>
      <c r="B28" t="s">
        <v>217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38</v>
      </c>
      <c r="B29" t="s">
        <v>218</v>
      </c>
      <c r="C29" t="str">
        <f t="shared" si="0"/>
        <v>Kudos</v>
      </c>
      <c r="D29" t="s">
        <v>295</v>
      </c>
      <c r="E29" t="str">
        <f t="shared" si="1"/>
        <v>check</v>
      </c>
      <c r="F29" t="s">
        <v>196</v>
      </c>
      <c r="G29" t="s">
        <v>196</v>
      </c>
      <c r="H29" t="s">
        <v>196</v>
      </c>
      <c r="I29" t="s">
        <v>304</v>
      </c>
      <c r="J29" t="s">
        <v>313</v>
      </c>
    </row>
    <row r="30" spans="1:10" x14ac:dyDescent="0.3">
      <c r="A30" t="s">
        <v>39</v>
      </c>
      <c r="B30" t="s">
        <v>219</v>
      </c>
      <c r="C30" t="str">
        <f t="shared" si="0"/>
        <v>Kudos</v>
      </c>
      <c r="D30" t="s">
        <v>295</v>
      </c>
      <c r="E30" t="str">
        <f t="shared" si="1"/>
        <v>check</v>
      </c>
      <c r="F30" t="s">
        <v>196</v>
      </c>
      <c r="G30" t="s">
        <v>196</v>
      </c>
      <c r="H30" t="s">
        <v>196</v>
      </c>
      <c r="I30" t="s">
        <v>304</v>
      </c>
      <c r="J30" t="s">
        <v>313</v>
      </c>
    </row>
    <row r="31" spans="1:10" x14ac:dyDescent="0.3">
      <c r="A31" t="s">
        <v>40</v>
      </c>
      <c r="B31" t="s">
        <v>220</v>
      </c>
      <c r="C31" t="str">
        <f t="shared" si="0"/>
        <v>Kudos</v>
      </c>
      <c r="D31" t="s">
        <v>295</v>
      </c>
      <c r="E31" t="str">
        <f t="shared" si="1"/>
        <v>check</v>
      </c>
      <c r="F31" t="s">
        <v>196</v>
      </c>
      <c r="G31" t="s">
        <v>196</v>
      </c>
      <c r="H31" t="s">
        <v>196</v>
      </c>
      <c r="I31" t="s">
        <v>304</v>
      </c>
      <c r="J31" t="s">
        <v>313</v>
      </c>
    </row>
    <row r="32" spans="1:10" x14ac:dyDescent="0.3">
      <c r="A32" t="s">
        <v>41</v>
      </c>
      <c r="B32" t="s">
        <v>221</v>
      </c>
      <c r="C32" t="str">
        <f t="shared" si="0"/>
        <v>Kudos</v>
      </c>
      <c r="D32" t="s">
        <v>295</v>
      </c>
      <c r="E32" t="str">
        <f t="shared" si="1"/>
        <v>check</v>
      </c>
      <c r="F32" t="s">
        <v>196</v>
      </c>
      <c r="G32" t="s">
        <v>196</v>
      </c>
      <c r="H32" t="s">
        <v>196</v>
      </c>
      <c r="I32" t="s">
        <v>304</v>
      </c>
      <c r="J32" t="s">
        <v>313</v>
      </c>
    </row>
    <row r="33" spans="1:10" x14ac:dyDescent="0.3">
      <c r="A33" t="s">
        <v>42</v>
      </c>
      <c r="B33" t="s">
        <v>222</v>
      </c>
      <c r="C33" t="str">
        <f t="shared" si="0"/>
        <v>Kudos</v>
      </c>
      <c r="D33" t="s">
        <v>295</v>
      </c>
      <c r="E33" t="str">
        <f t="shared" si="1"/>
        <v>check</v>
      </c>
      <c r="F33" t="s">
        <v>196</v>
      </c>
      <c r="G33" t="s">
        <v>196</v>
      </c>
      <c r="H33" t="s">
        <v>196</v>
      </c>
      <c r="I33" t="s">
        <v>304</v>
      </c>
      <c r="J33" t="s">
        <v>313</v>
      </c>
    </row>
    <row r="34" spans="1:10" x14ac:dyDescent="0.3">
      <c r="A34" t="s">
        <v>43</v>
      </c>
      <c r="B34" t="s">
        <v>223</v>
      </c>
      <c r="C34" t="str">
        <f t="shared" si="0"/>
        <v>Kudos</v>
      </c>
      <c r="D34" t="s">
        <v>295</v>
      </c>
      <c r="E34" t="str">
        <f t="shared" si="1"/>
        <v>check</v>
      </c>
      <c r="F34" t="s">
        <v>196</v>
      </c>
      <c r="G34" t="s">
        <v>196</v>
      </c>
      <c r="H34" t="s">
        <v>196</v>
      </c>
      <c r="I34" t="s">
        <v>304</v>
      </c>
      <c r="J34" t="s">
        <v>313</v>
      </c>
    </row>
    <row r="35" spans="1:10" x14ac:dyDescent="0.3">
      <c r="A35" t="s">
        <v>44</v>
      </c>
      <c r="B35" t="s">
        <v>202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45</v>
      </c>
      <c r="B36" t="s">
        <v>224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46</v>
      </c>
      <c r="B37" t="s">
        <v>225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47</v>
      </c>
      <c r="B38" t="s">
        <v>212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48</v>
      </c>
      <c r="B39" t="s">
        <v>226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49</v>
      </c>
      <c r="B40" t="s">
        <v>227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50</v>
      </c>
      <c r="B41" t="s">
        <v>202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51</v>
      </c>
      <c r="B42" t="s">
        <v>228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52</v>
      </c>
      <c r="B43" t="s">
        <v>219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53</v>
      </c>
      <c r="B44" t="s">
        <v>220</v>
      </c>
      <c r="C44" t="str">
        <f t="shared" si="0"/>
        <v>_</v>
      </c>
      <c r="D44" t="s">
        <v>11</v>
      </c>
      <c r="E44" t="str">
        <f t="shared" si="1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54</v>
      </c>
      <c r="B45" t="s">
        <v>229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55</v>
      </c>
      <c r="B46" t="s">
        <v>209</v>
      </c>
      <c r="C46" t="str">
        <f t="shared" si="0"/>
        <v>Linguistic Convention</v>
      </c>
      <c r="D46" t="s">
        <v>296</v>
      </c>
      <c r="E46" t="str">
        <f t="shared" si="1"/>
        <v>Grammar</v>
      </c>
      <c r="F46" t="s">
        <v>196</v>
      </c>
      <c r="G46" t="s">
        <v>305</v>
      </c>
      <c r="H46" t="s">
        <v>196</v>
      </c>
      <c r="I46" t="s">
        <v>306</v>
      </c>
      <c r="J46" t="s">
        <v>314</v>
      </c>
    </row>
    <row r="47" spans="1:10" x14ac:dyDescent="0.3">
      <c r="A47" t="s">
        <v>56</v>
      </c>
      <c r="B47" t="s">
        <v>213</v>
      </c>
      <c r="C47" t="str">
        <f t="shared" si="0"/>
        <v>_</v>
      </c>
      <c r="D47" t="s">
        <v>11</v>
      </c>
      <c r="E47" t="str">
        <f t="shared" si="1"/>
        <v>_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3">
      <c r="A48" t="s">
        <v>57</v>
      </c>
      <c r="B48" t="s">
        <v>230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58</v>
      </c>
      <c r="B49" t="s">
        <v>215</v>
      </c>
      <c r="C49" t="str">
        <f t="shared" si="0"/>
        <v>_</v>
      </c>
      <c r="D49" t="s">
        <v>11</v>
      </c>
      <c r="E49" t="str">
        <f t="shared" si="1"/>
        <v>_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3">
      <c r="A50" t="s">
        <v>59</v>
      </c>
      <c r="B50" t="s">
        <v>216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60</v>
      </c>
      <c r="B51" t="s">
        <v>231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61</v>
      </c>
      <c r="B52" t="s">
        <v>220</v>
      </c>
      <c r="C52" t="str">
        <f t="shared" si="0"/>
        <v>Style</v>
      </c>
      <c r="D52" t="s">
        <v>297</v>
      </c>
      <c r="E52" t="str">
        <f t="shared" si="1"/>
        <v>Unidiomatic style</v>
      </c>
      <c r="F52" t="s">
        <v>196</v>
      </c>
      <c r="G52" t="s">
        <v>196</v>
      </c>
      <c r="H52" t="s">
        <v>307</v>
      </c>
      <c r="I52" t="s">
        <v>306</v>
      </c>
      <c r="J52" t="s">
        <v>315</v>
      </c>
    </row>
    <row r="53" spans="1:10" x14ac:dyDescent="0.3">
      <c r="A53" t="s">
        <v>62</v>
      </c>
      <c r="B53" t="s">
        <v>229</v>
      </c>
      <c r="C53" t="str">
        <f t="shared" si="0"/>
        <v>Style</v>
      </c>
      <c r="D53" t="s">
        <v>297</v>
      </c>
      <c r="E53" t="str">
        <f t="shared" si="1"/>
        <v>Unidiomatic style</v>
      </c>
      <c r="F53" t="s">
        <v>196</v>
      </c>
      <c r="G53" t="s">
        <v>196</v>
      </c>
      <c r="H53" t="s">
        <v>307</v>
      </c>
      <c r="I53" t="s">
        <v>306</v>
      </c>
      <c r="J53" t="s">
        <v>315</v>
      </c>
    </row>
    <row r="54" spans="1:10" x14ac:dyDescent="0.3">
      <c r="A54" t="s">
        <v>63</v>
      </c>
      <c r="B54" t="s">
        <v>212</v>
      </c>
      <c r="C54" t="str">
        <f t="shared" si="0"/>
        <v>Style</v>
      </c>
      <c r="D54" t="s">
        <v>297</v>
      </c>
      <c r="E54" t="str">
        <f t="shared" si="1"/>
        <v>Unidiomatic style</v>
      </c>
      <c r="F54" t="s">
        <v>196</v>
      </c>
      <c r="G54" t="s">
        <v>196</v>
      </c>
      <c r="H54" t="s">
        <v>307</v>
      </c>
      <c r="I54" t="s">
        <v>306</v>
      </c>
      <c r="J54" t="s">
        <v>315</v>
      </c>
    </row>
    <row r="55" spans="1:10" x14ac:dyDescent="0.3">
      <c r="A55" t="s">
        <v>64</v>
      </c>
      <c r="B55" t="s">
        <v>232</v>
      </c>
      <c r="C55" t="str">
        <f t="shared" si="0"/>
        <v>Style</v>
      </c>
      <c r="D55" t="s">
        <v>298</v>
      </c>
      <c r="E55" t="str">
        <f t="shared" si="1"/>
        <v>*|Mistranslation</v>
      </c>
      <c r="F55" t="s">
        <v>308</v>
      </c>
      <c r="G55" t="s">
        <v>309</v>
      </c>
      <c r="H55" t="s">
        <v>310</v>
      </c>
      <c r="I55" t="s">
        <v>311</v>
      </c>
      <c r="J55" t="s">
        <v>316</v>
      </c>
    </row>
    <row r="56" spans="1:10" x14ac:dyDescent="0.3">
      <c r="A56" t="s">
        <v>65</v>
      </c>
      <c r="B56" t="s">
        <v>233</v>
      </c>
      <c r="C56" t="str">
        <f t="shared" si="0"/>
        <v>Style</v>
      </c>
      <c r="D56" t="s">
        <v>297</v>
      </c>
      <c r="E56" t="str">
        <f t="shared" si="1"/>
        <v>Unidiomatic style</v>
      </c>
      <c r="F56" t="s">
        <v>196</v>
      </c>
      <c r="G56" t="s">
        <v>196</v>
      </c>
      <c r="H56" t="s">
        <v>307</v>
      </c>
      <c r="I56" t="s">
        <v>306</v>
      </c>
      <c r="J56" t="s">
        <v>315</v>
      </c>
    </row>
    <row r="57" spans="1:10" x14ac:dyDescent="0.3">
      <c r="A57" t="s">
        <v>66</v>
      </c>
      <c r="B57" t="s">
        <v>207</v>
      </c>
      <c r="C57" t="str">
        <f t="shared" si="0"/>
        <v>Style</v>
      </c>
      <c r="D57" t="s">
        <v>297</v>
      </c>
      <c r="E57" t="str">
        <f t="shared" si="1"/>
        <v>Unidiomatic style</v>
      </c>
      <c r="F57" t="s">
        <v>196</v>
      </c>
      <c r="G57" t="s">
        <v>196</v>
      </c>
      <c r="H57" t="s">
        <v>307</v>
      </c>
      <c r="I57" t="s">
        <v>306</v>
      </c>
      <c r="J57" t="s">
        <v>315</v>
      </c>
    </row>
    <row r="58" spans="1:10" x14ac:dyDescent="0.3">
      <c r="A58" t="s">
        <v>67</v>
      </c>
      <c r="B58" t="s">
        <v>234</v>
      </c>
      <c r="C58" t="str">
        <f t="shared" si="0"/>
        <v>Style</v>
      </c>
      <c r="D58" t="s">
        <v>297</v>
      </c>
      <c r="E58" t="str">
        <f t="shared" si="1"/>
        <v>Unidiomatic style</v>
      </c>
      <c r="F58" t="s">
        <v>196</v>
      </c>
      <c r="G58" t="s">
        <v>196</v>
      </c>
      <c r="H58" t="s">
        <v>307</v>
      </c>
      <c r="I58" t="s">
        <v>306</v>
      </c>
      <c r="J58" t="s">
        <v>315</v>
      </c>
    </row>
    <row r="59" spans="1:10" x14ac:dyDescent="0.3">
      <c r="A59" t="s">
        <v>68</v>
      </c>
      <c r="B59" t="s">
        <v>202</v>
      </c>
      <c r="C59" t="str">
        <f t="shared" si="0"/>
        <v>Style</v>
      </c>
      <c r="D59" t="s">
        <v>297</v>
      </c>
      <c r="E59" t="str">
        <f t="shared" si="1"/>
        <v>Unidiomatic style</v>
      </c>
      <c r="F59" t="s">
        <v>196</v>
      </c>
      <c r="G59" t="s">
        <v>196</v>
      </c>
      <c r="H59" t="s">
        <v>307</v>
      </c>
      <c r="I59" t="s">
        <v>306</v>
      </c>
      <c r="J59" t="s">
        <v>315</v>
      </c>
    </row>
    <row r="60" spans="1:10" x14ac:dyDescent="0.3">
      <c r="A60" t="s">
        <v>69</v>
      </c>
      <c r="B60" t="s">
        <v>235</v>
      </c>
      <c r="C60" t="str">
        <f t="shared" si="0"/>
        <v>Style</v>
      </c>
      <c r="D60" t="s">
        <v>297</v>
      </c>
      <c r="E60" t="str">
        <f t="shared" si="1"/>
        <v>Unidiomatic style</v>
      </c>
      <c r="F60" t="s">
        <v>196</v>
      </c>
      <c r="G60" t="s">
        <v>196</v>
      </c>
      <c r="H60" t="s">
        <v>307</v>
      </c>
      <c r="I60" t="s">
        <v>306</v>
      </c>
      <c r="J60" t="s">
        <v>315</v>
      </c>
    </row>
    <row r="61" spans="1:10" x14ac:dyDescent="0.3">
      <c r="A61" t="s">
        <v>70</v>
      </c>
      <c r="B61" t="s">
        <v>220</v>
      </c>
      <c r="C61" t="str">
        <f t="shared" si="0"/>
        <v>Style</v>
      </c>
      <c r="D61" t="s">
        <v>297</v>
      </c>
      <c r="E61" t="str">
        <f t="shared" si="1"/>
        <v>Unidiomatic style</v>
      </c>
      <c r="F61" t="s">
        <v>196</v>
      </c>
      <c r="G61" t="s">
        <v>196</v>
      </c>
      <c r="H61" t="s">
        <v>307</v>
      </c>
      <c r="I61" t="s">
        <v>306</v>
      </c>
      <c r="J61" t="s">
        <v>315</v>
      </c>
    </row>
    <row r="62" spans="1:10" x14ac:dyDescent="0.3">
      <c r="A62" t="s">
        <v>71</v>
      </c>
      <c r="B62" t="s">
        <v>229</v>
      </c>
      <c r="C62" t="str">
        <f t="shared" si="0"/>
        <v>Style</v>
      </c>
      <c r="D62" t="s">
        <v>297</v>
      </c>
      <c r="E62" t="str">
        <f t="shared" si="1"/>
        <v>Unidiomatic style</v>
      </c>
      <c r="F62" t="s">
        <v>196</v>
      </c>
      <c r="G62" t="s">
        <v>196</v>
      </c>
      <c r="H62" t="s">
        <v>307</v>
      </c>
      <c r="I62" t="s">
        <v>306</v>
      </c>
      <c r="J62" t="s">
        <v>315</v>
      </c>
    </row>
    <row r="63" spans="1:10" x14ac:dyDescent="0.3">
      <c r="A63" t="s">
        <v>72</v>
      </c>
      <c r="B63" t="s">
        <v>236</v>
      </c>
      <c r="C63" t="str">
        <f t="shared" si="0"/>
        <v>Style</v>
      </c>
      <c r="D63" t="s">
        <v>649</v>
      </c>
      <c r="E63" t="s">
        <v>650</v>
      </c>
      <c r="F63" t="s">
        <v>196</v>
      </c>
      <c r="G63" t="s">
        <v>196</v>
      </c>
      <c r="H63" t="s">
        <v>307</v>
      </c>
      <c r="I63" t="s">
        <v>311</v>
      </c>
      <c r="J63" t="s">
        <v>651</v>
      </c>
    </row>
    <row r="64" spans="1:10" x14ac:dyDescent="0.3">
      <c r="A64" t="s">
        <v>73</v>
      </c>
      <c r="B64" t="s">
        <v>237</v>
      </c>
      <c r="C64" t="str">
        <f t="shared" si="0"/>
        <v>Style</v>
      </c>
      <c r="D64" t="s">
        <v>297</v>
      </c>
      <c r="E64" t="str">
        <f t="shared" si="1"/>
        <v>Unidiomatic style</v>
      </c>
      <c r="F64" t="s">
        <v>196</v>
      </c>
      <c r="G64" t="s">
        <v>196</v>
      </c>
      <c r="H64" t="s">
        <v>307</v>
      </c>
      <c r="I64" t="s">
        <v>306</v>
      </c>
      <c r="J64" t="s">
        <v>315</v>
      </c>
    </row>
    <row r="65" spans="1:10" x14ac:dyDescent="0.3">
      <c r="A65" t="s">
        <v>74</v>
      </c>
      <c r="B65" t="s">
        <v>238</v>
      </c>
      <c r="C65" t="str">
        <f t="shared" si="0"/>
        <v>Style</v>
      </c>
      <c r="D65" t="s">
        <v>297</v>
      </c>
      <c r="E65" t="str">
        <f t="shared" si="1"/>
        <v>Unidiomatic style</v>
      </c>
      <c r="F65" t="s">
        <v>196</v>
      </c>
      <c r="G65" t="s">
        <v>196</v>
      </c>
      <c r="H65" t="s">
        <v>307</v>
      </c>
      <c r="I65" t="s">
        <v>306</v>
      </c>
      <c r="J65" t="s">
        <v>315</v>
      </c>
    </row>
    <row r="66" spans="1:10" x14ac:dyDescent="0.3">
      <c r="A66" t="s">
        <v>75</v>
      </c>
      <c r="B66" t="s">
        <v>215</v>
      </c>
      <c r="C66" t="str">
        <f t="shared" si="0"/>
        <v>Style</v>
      </c>
      <c r="D66" t="s">
        <v>297</v>
      </c>
      <c r="E66" t="str">
        <f t="shared" si="1"/>
        <v>Unidiomatic style</v>
      </c>
      <c r="F66" t="s">
        <v>196</v>
      </c>
      <c r="G66" t="s">
        <v>196</v>
      </c>
      <c r="H66" t="s">
        <v>307</v>
      </c>
      <c r="I66" t="s">
        <v>306</v>
      </c>
      <c r="J66" t="s">
        <v>315</v>
      </c>
    </row>
    <row r="67" spans="1:10" x14ac:dyDescent="0.3">
      <c r="A67" t="s">
        <v>76</v>
      </c>
      <c r="B67" t="s">
        <v>239</v>
      </c>
      <c r="C67" t="str">
        <f t="shared" ref="C67:C130" si="2">IFERROR(LEFT(D67, FIND("[", D67)-1), D67)</f>
        <v>_</v>
      </c>
      <c r="D67" t="s">
        <v>11</v>
      </c>
      <c r="E67" t="str">
        <f t="shared" ref="E67:E130" si="3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77</v>
      </c>
      <c r="B68" t="s">
        <v>213</v>
      </c>
      <c r="C68" t="str">
        <f t="shared" si="2"/>
        <v>_</v>
      </c>
      <c r="D68" t="s">
        <v>11</v>
      </c>
      <c r="E68" t="str">
        <f t="shared" si="3"/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t="s">
        <v>78</v>
      </c>
      <c r="B69" t="s">
        <v>240</v>
      </c>
      <c r="C69" t="str">
        <f t="shared" si="2"/>
        <v>_</v>
      </c>
      <c r="D69" t="s">
        <v>11</v>
      </c>
      <c r="E69" t="str">
        <f t="shared" si="3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79</v>
      </c>
      <c r="B70" t="s">
        <v>241</v>
      </c>
      <c r="C70" t="str">
        <f t="shared" si="2"/>
        <v>_</v>
      </c>
      <c r="D70" t="s">
        <v>11</v>
      </c>
      <c r="E70" t="str">
        <f t="shared" si="3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80</v>
      </c>
      <c r="B71" t="s">
        <v>242</v>
      </c>
      <c r="C71" t="str">
        <f t="shared" si="2"/>
        <v>_</v>
      </c>
      <c r="D71" t="s">
        <v>11</v>
      </c>
      <c r="E71" t="str">
        <f t="shared" si="3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81</v>
      </c>
      <c r="B72" t="s">
        <v>243</v>
      </c>
      <c r="C72" t="str">
        <f t="shared" si="2"/>
        <v>_</v>
      </c>
      <c r="D72" t="s">
        <v>11</v>
      </c>
      <c r="E72" t="str">
        <f t="shared" si="3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82</v>
      </c>
      <c r="B73" t="s">
        <v>202</v>
      </c>
      <c r="C73" t="str">
        <f t="shared" si="2"/>
        <v>_</v>
      </c>
      <c r="D73" t="s">
        <v>11</v>
      </c>
      <c r="E73" t="str">
        <f t="shared" si="3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83</v>
      </c>
      <c r="B74" t="s">
        <v>244</v>
      </c>
      <c r="C74" t="str">
        <f t="shared" si="2"/>
        <v>_</v>
      </c>
      <c r="D74" t="s">
        <v>11</v>
      </c>
      <c r="E74" t="str">
        <f t="shared" si="3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84</v>
      </c>
      <c r="B75" t="s">
        <v>245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85</v>
      </c>
      <c r="B76" t="s">
        <v>204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86</v>
      </c>
      <c r="B77" t="s">
        <v>245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87</v>
      </c>
      <c r="B78" t="s">
        <v>204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88</v>
      </c>
      <c r="B79" t="s">
        <v>202</v>
      </c>
      <c r="C79" t="str">
        <f t="shared" si="2"/>
        <v>_</v>
      </c>
      <c r="D79" t="s">
        <v>11</v>
      </c>
      <c r="E79" t="str">
        <f t="shared" si="3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89</v>
      </c>
      <c r="B80" t="s">
        <v>246</v>
      </c>
      <c r="C80" t="str">
        <f t="shared" si="2"/>
        <v>_</v>
      </c>
      <c r="D80" t="s">
        <v>11</v>
      </c>
      <c r="E80" t="str">
        <f t="shared" si="3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90</v>
      </c>
      <c r="B81" t="s">
        <v>247</v>
      </c>
      <c r="C81" t="str">
        <f t="shared" si="2"/>
        <v>_</v>
      </c>
      <c r="D81" t="s">
        <v>11</v>
      </c>
      <c r="E81" t="str">
        <f t="shared" si="3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91</v>
      </c>
      <c r="B82" t="s">
        <v>248</v>
      </c>
      <c r="C82" t="str">
        <f t="shared" si="2"/>
        <v>_</v>
      </c>
      <c r="D82" t="s">
        <v>11</v>
      </c>
      <c r="E82" t="str">
        <f t="shared" si="3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92</v>
      </c>
      <c r="B83" t="s">
        <v>249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93</v>
      </c>
      <c r="B84" t="s">
        <v>250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94</v>
      </c>
      <c r="B85" t="s">
        <v>220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95</v>
      </c>
      <c r="B86" t="s">
        <v>251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96</v>
      </c>
      <c r="B87" t="s">
        <v>252</v>
      </c>
      <c r="C87" t="str">
        <f t="shared" si="2"/>
        <v>_</v>
      </c>
      <c r="D87" t="s">
        <v>11</v>
      </c>
      <c r="E87" t="str">
        <f t="shared" si="3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97</v>
      </c>
      <c r="B88" t="s">
        <v>253</v>
      </c>
      <c r="C88" t="str">
        <f t="shared" si="2"/>
        <v>Accuracy</v>
      </c>
      <c r="D88" t="s">
        <v>299</v>
      </c>
      <c r="E88" t="str">
        <f t="shared" si="3"/>
        <v>Undertranslation</v>
      </c>
      <c r="F88" t="s">
        <v>312</v>
      </c>
      <c r="G88" t="s">
        <v>196</v>
      </c>
      <c r="H88" t="s">
        <v>196</v>
      </c>
      <c r="I88" t="s">
        <v>306</v>
      </c>
      <c r="J88" t="s">
        <v>317</v>
      </c>
    </row>
    <row r="89" spans="1:10" x14ac:dyDescent="0.3">
      <c r="A89" t="s">
        <v>98</v>
      </c>
      <c r="B89" t="s">
        <v>254</v>
      </c>
      <c r="C89" t="str">
        <f t="shared" si="2"/>
        <v>Accuracy</v>
      </c>
      <c r="D89" t="s">
        <v>299</v>
      </c>
      <c r="E89" t="str">
        <f t="shared" si="3"/>
        <v>Undertranslation</v>
      </c>
      <c r="F89" t="s">
        <v>312</v>
      </c>
      <c r="G89" t="s">
        <v>196</v>
      </c>
      <c r="H89" t="s">
        <v>196</v>
      </c>
      <c r="I89" t="s">
        <v>306</v>
      </c>
      <c r="J89" t="s">
        <v>317</v>
      </c>
    </row>
    <row r="90" spans="1:10" x14ac:dyDescent="0.3">
      <c r="A90" t="s">
        <v>99</v>
      </c>
      <c r="B90" t="s">
        <v>209</v>
      </c>
      <c r="C90" t="str">
        <f t="shared" si="2"/>
        <v>_</v>
      </c>
      <c r="D90" t="s">
        <v>11</v>
      </c>
      <c r="E90" t="str">
        <f t="shared" si="3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100</v>
      </c>
      <c r="B91" t="s">
        <v>255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101</v>
      </c>
      <c r="B92" t="s">
        <v>256</v>
      </c>
      <c r="C92" t="str">
        <f t="shared" si="2"/>
        <v>_</v>
      </c>
      <c r="D92" t="s">
        <v>11</v>
      </c>
      <c r="E92" t="str">
        <f t="shared" si="3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102</v>
      </c>
      <c r="B93" t="s">
        <v>202</v>
      </c>
      <c r="C93" t="str">
        <f t="shared" si="2"/>
        <v>_</v>
      </c>
      <c r="D93" t="s">
        <v>11</v>
      </c>
      <c r="E93" t="str">
        <f t="shared" si="3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103</v>
      </c>
      <c r="B94" t="s">
        <v>244</v>
      </c>
      <c r="C94" t="str">
        <f t="shared" si="2"/>
        <v>_</v>
      </c>
      <c r="D94" t="s">
        <v>11</v>
      </c>
      <c r="E94" t="str">
        <f t="shared" si="3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104</v>
      </c>
      <c r="B95" t="s">
        <v>257</v>
      </c>
      <c r="C95" t="str">
        <f t="shared" si="2"/>
        <v>Kudos</v>
      </c>
      <c r="D95" t="s">
        <v>300</v>
      </c>
      <c r="E95" t="str">
        <f t="shared" si="3"/>
        <v>check</v>
      </c>
      <c r="F95" t="s">
        <v>196</v>
      </c>
      <c r="G95" t="s">
        <v>196</v>
      </c>
      <c r="H95" t="s">
        <v>196</v>
      </c>
      <c r="I95" t="s">
        <v>304</v>
      </c>
      <c r="J95" t="s">
        <v>318</v>
      </c>
    </row>
    <row r="96" spans="1:10" x14ac:dyDescent="0.3">
      <c r="A96" t="s">
        <v>105</v>
      </c>
      <c r="B96" t="s">
        <v>202</v>
      </c>
      <c r="C96" t="str">
        <f t="shared" si="2"/>
        <v>Kudos</v>
      </c>
      <c r="D96" t="s">
        <v>300</v>
      </c>
      <c r="E96" t="str">
        <f t="shared" si="3"/>
        <v>check</v>
      </c>
      <c r="F96" t="s">
        <v>196</v>
      </c>
      <c r="G96" t="s">
        <v>196</v>
      </c>
      <c r="H96" t="s">
        <v>196</v>
      </c>
      <c r="I96" t="s">
        <v>304</v>
      </c>
      <c r="J96" t="s">
        <v>318</v>
      </c>
    </row>
    <row r="97" spans="1:10" x14ac:dyDescent="0.3">
      <c r="A97" t="s">
        <v>106</v>
      </c>
      <c r="B97" t="s">
        <v>258</v>
      </c>
      <c r="C97" t="str">
        <f t="shared" si="2"/>
        <v>Kudos</v>
      </c>
      <c r="D97" t="s">
        <v>300</v>
      </c>
      <c r="E97" t="str">
        <f t="shared" si="3"/>
        <v>check</v>
      </c>
      <c r="F97" t="s">
        <v>196</v>
      </c>
      <c r="G97" t="s">
        <v>196</v>
      </c>
      <c r="H97" t="s">
        <v>196</v>
      </c>
      <c r="I97" t="s">
        <v>304</v>
      </c>
      <c r="J97" t="s">
        <v>318</v>
      </c>
    </row>
    <row r="98" spans="1:10" x14ac:dyDescent="0.3">
      <c r="A98" t="s">
        <v>107</v>
      </c>
      <c r="B98" t="s">
        <v>259</v>
      </c>
      <c r="C98" t="str">
        <f t="shared" si="2"/>
        <v>Kudos</v>
      </c>
      <c r="D98" t="s">
        <v>300</v>
      </c>
      <c r="E98" t="str">
        <f t="shared" si="3"/>
        <v>check</v>
      </c>
      <c r="F98" t="s">
        <v>196</v>
      </c>
      <c r="G98" t="s">
        <v>196</v>
      </c>
      <c r="H98" t="s">
        <v>196</v>
      </c>
      <c r="I98" t="s">
        <v>304</v>
      </c>
      <c r="J98" t="s">
        <v>318</v>
      </c>
    </row>
    <row r="99" spans="1:10" x14ac:dyDescent="0.3">
      <c r="A99" t="s">
        <v>108</v>
      </c>
      <c r="B99" t="s">
        <v>215</v>
      </c>
      <c r="C99" t="str">
        <f t="shared" si="2"/>
        <v>_</v>
      </c>
      <c r="D99" t="s">
        <v>11</v>
      </c>
      <c r="E99" t="str">
        <f t="shared" si="3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109</v>
      </c>
      <c r="B100" t="s">
        <v>260</v>
      </c>
      <c r="C100" t="str">
        <f t="shared" si="2"/>
        <v>_</v>
      </c>
      <c r="D100" t="s">
        <v>11</v>
      </c>
      <c r="E100" t="str">
        <f t="shared" si="3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110</v>
      </c>
      <c r="B101" t="s">
        <v>261</v>
      </c>
      <c r="C101" t="str">
        <f t="shared" si="2"/>
        <v>_</v>
      </c>
      <c r="D101" t="s">
        <v>11</v>
      </c>
      <c r="E101" t="str">
        <f t="shared" si="3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111</v>
      </c>
      <c r="B102" t="s">
        <v>262</v>
      </c>
      <c r="C102" t="str">
        <f t="shared" si="2"/>
        <v>_</v>
      </c>
      <c r="D102" t="s">
        <v>11</v>
      </c>
      <c r="E102" t="str">
        <f t="shared" si="3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112</v>
      </c>
      <c r="B103" t="s">
        <v>213</v>
      </c>
      <c r="C103" t="str">
        <f t="shared" si="2"/>
        <v>_</v>
      </c>
      <c r="D103" t="s">
        <v>11</v>
      </c>
      <c r="E103" t="str">
        <f t="shared" si="3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113</v>
      </c>
      <c r="B104" t="s">
        <v>263</v>
      </c>
      <c r="C104" t="str">
        <f t="shared" si="2"/>
        <v>_</v>
      </c>
      <c r="D104" t="s">
        <v>11</v>
      </c>
      <c r="E104" t="str">
        <f t="shared" si="3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114</v>
      </c>
      <c r="B105" t="s">
        <v>212</v>
      </c>
      <c r="C105" t="str">
        <f t="shared" si="2"/>
        <v>_</v>
      </c>
      <c r="D105" t="s">
        <v>11</v>
      </c>
      <c r="E105" t="str">
        <f t="shared" si="3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115</v>
      </c>
      <c r="B106" t="s">
        <v>220</v>
      </c>
      <c r="C106" t="str">
        <f t="shared" si="2"/>
        <v>_</v>
      </c>
      <c r="D106" t="s">
        <v>11</v>
      </c>
      <c r="E106" t="str">
        <f t="shared" si="3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116</v>
      </c>
      <c r="B107" t="s">
        <v>264</v>
      </c>
      <c r="C107" t="str">
        <f t="shared" si="2"/>
        <v>Style</v>
      </c>
      <c r="D107" t="s">
        <v>620</v>
      </c>
      <c r="E107" t="s">
        <v>624</v>
      </c>
      <c r="F107" t="s">
        <v>11</v>
      </c>
      <c r="G107" t="s">
        <v>11</v>
      </c>
      <c r="H107" t="s">
        <v>11</v>
      </c>
      <c r="I107" t="s">
        <v>306</v>
      </c>
      <c r="J107" t="s">
        <v>652</v>
      </c>
    </row>
    <row r="108" spans="1:10" x14ac:dyDescent="0.3">
      <c r="A108" t="s">
        <v>117</v>
      </c>
      <c r="B108" t="s">
        <v>212</v>
      </c>
      <c r="C108" t="str">
        <f t="shared" si="2"/>
        <v>_</v>
      </c>
      <c r="D108" t="s">
        <v>11</v>
      </c>
      <c r="E108" t="str">
        <f t="shared" si="3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118</v>
      </c>
      <c r="B109" t="s">
        <v>254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119</v>
      </c>
      <c r="B110" t="s">
        <v>215</v>
      </c>
      <c r="C110" t="str">
        <f t="shared" si="2"/>
        <v>_</v>
      </c>
      <c r="D110" t="s">
        <v>11</v>
      </c>
      <c r="E110" t="str">
        <f t="shared" si="3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120</v>
      </c>
      <c r="B111" t="s">
        <v>265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121</v>
      </c>
      <c r="B112" t="s">
        <v>266</v>
      </c>
      <c r="C112" t="str">
        <f t="shared" si="2"/>
        <v>_</v>
      </c>
      <c r="D112" t="s">
        <v>11</v>
      </c>
      <c r="E112" t="str">
        <f t="shared" si="3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122</v>
      </c>
      <c r="B113" t="s">
        <v>267</v>
      </c>
      <c r="C113" t="str">
        <f t="shared" si="2"/>
        <v>_</v>
      </c>
      <c r="D113" t="s">
        <v>11</v>
      </c>
      <c r="E113" t="str">
        <f t="shared" si="3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123</v>
      </c>
      <c r="B114" t="s">
        <v>202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124</v>
      </c>
      <c r="B115" t="s">
        <v>268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125</v>
      </c>
      <c r="B116" t="s">
        <v>202</v>
      </c>
      <c r="C116" t="str">
        <f t="shared" si="2"/>
        <v>_</v>
      </c>
      <c r="D116" t="s">
        <v>11</v>
      </c>
      <c r="E116" t="str">
        <f t="shared" si="3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126</v>
      </c>
      <c r="B117" t="s">
        <v>269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127</v>
      </c>
      <c r="B118" t="s">
        <v>220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128</v>
      </c>
      <c r="B119" t="s">
        <v>226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129</v>
      </c>
      <c r="B120" t="s">
        <v>229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130</v>
      </c>
      <c r="B121" t="s">
        <v>204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131</v>
      </c>
      <c r="B122" t="s">
        <v>220</v>
      </c>
      <c r="C122" t="str">
        <f t="shared" si="2"/>
        <v>_</v>
      </c>
      <c r="D122" t="s">
        <v>11</v>
      </c>
      <c r="E122" t="str">
        <f t="shared" si="3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132</v>
      </c>
      <c r="B123" t="s">
        <v>270</v>
      </c>
      <c r="C123" t="str">
        <f t="shared" si="2"/>
        <v>_</v>
      </c>
      <c r="D123" t="s">
        <v>11</v>
      </c>
      <c r="E123" t="str">
        <f t="shared" si="3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t="s">
        <v>133</v>
      </c>
      <c r="B124" t="s">
        <v>271</v>
      </c>
      <c r="C124" t="str">
        <f t="shared" si="2"/>
        <v>_</v>
      </c>
      <c r="D124" t="s">
        <v>11</v>
      </c>
      <c r="E124" t="str">
        <f t="shared" si="3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134</v>
      </c>
      <c r="B125" t="s">
        <v>250</v>
      </c>
      <c r="C125" t="str">
        <f t="shared" si="2"/>
        <v>_</v>
      </c>
      <c r="D125" t="s">
        <v>11</v>
      </c>
      <c r="E125" t="str">
        <f t="shared" si="3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135</v>
      </c>
      <c r="B126" t="s">
        <v>272</v>
      </c>
      <c r="C126" t="str">
        <f t="shared" si="2"/>
        <v>_</v>
      </c>
      <c r="D126" t="s">
        <v>11</v>
      </c>
      <c r="E126" t="str">
        <f t="shared" si="3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136</v>
      </c>
      <c r="B127" t="s">
        <v>273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137</v>
      </c>
      <c r="B128" t="s">
        <v>215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138</v>
      </c>
      <c r="B129" t="s">
        <v>198</v>
      </c>
      <c r="C129" t="str">
        <f t="shared" si="2"/>
        <v>_</v>
      </c>
      <c r="D129" t="s">
        <v>11</v>
      </c>
      <c r="E129" t="str">
        <f t="shared" si="3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139</v>
      </c>
      <c r="B130" t="s">
        <v>199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140</v>
      </c>
      <c r="B131" t="s">
        <v>200</v>
      </c>
      <c r="C131" t="str">
        <f t="shared" ref="C131:C186" si="4">IFERROR(LEFT(D131, FIND("[", D131)-1), D131)</f>
        <v>Style</v>
      </c>
      <c r="D131" t="s">
        <v>301</v>
      </c>
      <c r="E131" t="str">
        <f t="shared" ref="E131:E186" si="5">IF(F131="", "", IF(F131="*",IF(G131="*", IF(H131="*", "check", H131), G131), F131))</f>
        <v>Unidiomatic style</v>
      </c>
      <c r="F131" t="s">
        <v>196</v>
      </c>
      <c r="G131" t="s">
        <v>196</v>
      </c>
      <c r="H131" t="s">
        <v>307</v>
      </c>
      <c r="I131" t="s">
        <v>306</v>
      </c>
      <c r="J131" t="s">
        <v>319</v>
      </c>
    </row>
    <row r="132" spans="1:10" x14ac:dyDescent="0.3">
      <c r="A132" t="s">
        <v>141</v>
      </c>
      <c r="B132" t="s">
        <v>274</v>
      </c>
      <c r="C132" t="str">
        <f t="shared" si="4"/>
        <v>Style</v>
      </c>
      <c r="D132" t="s">
        <v>301</v>
      </c>
      <c r="E132" t="str">
        <f t="shared" si="5"/>
        <v>Unidiomatic style</v>
      </c>
      <c r="F132" t="s">
        <v>196</v>
      </c>
      <c r="G132" t="s">
        <v>196</v>
      </c>
      <c r="H132" t="s">
        <v>307</v>
      </c>
      <c r="I132" t="s">
        <v>306</v>
      </c>
      <c r="J132" t="s">
        <v>319</v>
      </c>
    </row>
    <row r="133" spans="1:10" x14ac:dyDescent="0.3">
      <c r="A133" t="s">
        <v>142</v>
      </c>
      <c r="B133" t="s">
        <v>275</v>
      </c>
      <c r="C133" t="str">
        <f t="shared" si="4"/>
        <v>Style</v>
      </c>
      <c r="D133" t="s">
        <v>301</v>
      </c>
      <c r="E133" t="str">
        <f t="shared" si="5"/>
        <v>Unidiomatic style</v>
      </c>
      <c r="F133" t="s">
        <v>196</v>
      </c>
      <c r="G133" t="s">
        <v>196</v>
      </c>
      <c r="H133" t="s">
        <v>307</v>
      </c>
      <c r="I133" t="s">
        <v>306</v>
      </c>
      <c r="J133" t="s">
        <v>319</v>
      </c>
    </row>
    <row r="134" spans="1:10" x14ac:dyDescent="0.3">
      <c r="A134" t="s">
        <v>143</v>
      </c>
      <c r="B134" t="s">
        <v>237</v>
      </c>
      <c r="C134" t="str">
        <f t="shared" si="4"/>
        <v>Style</v>
      </c>
      <c r="D134" t="s">
        <v>301</v>
      </c>
      <c r="E134" t="str">
        <f t="shared" si="5"/>
        <v>Unidiomatic style</v>
      </c>
      <c r="F134" t="s">
        <v>196</v>
      </c>
      <c r="G134" t="s">
        <v>196</v>
      </c>
      <c r="H134" t="s">
        <v>307</v>
      </c>
      <c r="I134" t="s">
        <v>306</v>
      </c>
      <c r="J134" t="s">
        <v>319</v>
      </c>
    </row>
    <row r="135" spans="1:10" x14ac:dyDescent="0.3">
      <c r="A135" t="s">
        <v>144</v>
      </c>
      <c r="B135" t="s">
        <v>204</v>
      </c>
      <c r="C135" t="str">
        <f t="shared" si="4"/>
        <v>_</v>
      </c>
      <c r="D135" t="s">
        <v>11</v>
      </c>
      <c r="E135" t="str">
        <f t="shared" si="5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145</v>
      </c>
      <c r="B136" t="s">
        <v>220</v>
      </c>
      <c r="C136" t="str">
        <f t="shared" si="4"/>
        <v>_</v>
      </c>
      <c r="D136" t="s">
        <v>11</v>
      </c>
      <c r="E136" t="str">
        <f t="shared" si="5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146</v>
      </c>
      <c r="B137" t="s">
        <v>276</v>
      </c>
      <c r="C137" t="str">
        <f t="shared" si="4"/>
        <v>_</v>
      </c>
      <c r="D137" t="s">
        <v>11</v>
      </c>
      <c r="E137" t="str">
        <f t="shared" si="5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147</v>
      </c>
      <c r="B138" t="s">
        <v>229</v>
      </c>
      <c r="C138" t="str">
        <f t="shared" si="4"/>
        <v>_</v>
      </c>
      <c r="D138" t="s">
        <v>11</v>
      </c>
      <c r="E138" t="str">
        <f t="shared" si="5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148</v>
      </c>
      <c r="B139" t="s">
        <v>277</v>
      </c>
      <c r="C139" t="str">
        <f t="shared" si="4"/>
        <v>Kudos</v>
      </c>
      <c r="D139" t="s">
        <v>302</v>
      </c>
      <c r="E139" t="str">
        <f t="shared" si="5"/>
        <v>check</v>
      </c>
      <c r="F139" t="s">
        <v>196</v>
      </c>
      <c r="G139" t="s">
        <v>196</v>
      </c>
      <c r="H139" t="s">
        <v>196</v>
      </c>
      <c r="I139" t="s">
        <v>304</v>
      </c>
      <c r="J139" t="s">
        <v>320</v>
      </c>
    </row>
    <row r="140" spans="1:10" x14ac:dyDescent="0.3">
      <c r="A140" t="s">
        <v>149</v>
      </c>
      <c r="B140" t="s">
        <v>272</v>
      </c>
      <c r="C140" t="str">
        <f t="shared" si="4"/>
        <v>Kudos</v>
      </c>
      <c r="D140" t="s">
        <v>302</v>
      </c>
      <c r="E140" t="str">
        <f t="shared" si="5"/>
        <v>check</v>
      </c>
      <c r="F140" t="s">
        <v>196</v>
      </c>
      <c r="G140" t="s">
        <v>196</v>
      </c>
      <c r="H140" t="s">
        <v>196</v>
      </c>
      <c r="I140" t="s">
        <v>304</v>
      </c>
      <c r="J140" t="s">
        <v>320</v>
      </c>
    </row>
    <row r="141" spans="1:10" x14ac:dyDescent="0.3">
      <c r="A141" t="s">
        <v>150</v>
      </c>
      <c r="B141" t="s">
        <v>278</v>
      </c>
      <c r="C141" t="str">
        <f t="shared" si="4"/>
        <v>_</v>
      </c>
      <c r="D141" t="s">
        <v>11</v>
      </c>
      <c r="E141" t="str">
        <f t="shared" si="5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151</v>
      </c>
      <c r="B142" t="s">
        <v>213</v>
      </c>
      <c r="C142" t="str">
        <f t="shared" si="4"/>
        <v>_</v>
      </c>
      <c r="D142" t="s">
        <v>11</v>
      </c>
      <c r="E142" t="str">
        <f t="shared" si="5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152</v>
      </c>
      <c r="B143" t="s">
        <v>279</v>
      </c>
      <c r="C143" t="str">
        <f t="shared" si="4"/>
        <v>_</v>
      </c>
      <c r="D143" t="s">
        <v>11</v>
      </c>
      <c r="E143" t="str">
        <f t="shared" si="5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153</v>
      </c>
      <c r="B144" t="s">
        <v>280</v>
      </c>
      <c r="C144" t="str">
        <f t="shared" si="4"/>
        <v>_</v>
      </c>
      <c r="D144" t="s">
        <v>11</v>
      </c>
      <c r="E144" t="str">
        <f t="shared" si="5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154</v>
      </c>
      <c r="B145" t="s">
        <v>199</v>
      </c>
      <c r="C145" t="str">
        <f t="shared" si="4"/>
        <v>_</v>
      </c>
      <c r="D145" t="s">
        <v>11</v>
      </c>
      <c r="E145" t="str">
        <f t="shared" si="5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155</v>
      </c>
      <c r="B146" t="s">
        <v>215</v>
      </c>
      <c r="C146" t="str">
        <f t="shared" si="4"/>
        <v>_</v>
      </c>
      <c r="D146" t="s">
        <v>11</v>
      </c>
      <c r="E146" t="str">
        <f t="shared" si="5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156</v>
      </c>
      <c r="B147" t="s">
        <v>265</v>
      </c>
      <c r="C147" t="str">
        <f t="shared" si="4"/>
        <v>_</v>
      </c>
      <c r="D147" t="s">
        <v>11</v>
      </c>
      <c r="E147" t="str">
        <f t="shared" si="5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157</v>
      </c>
      <c r="B148" t="s">
        <v>281</v>
      </c>
      <c r="C148" t="str">
        <f t="shared" si="4"/>
        <v>_</v>
      </c>
      <c r="D148" t="s">
        <v>11</v>
      </c>
      <c r="E148" t="str">
        <f t="shared" si="5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158</v>
      </c>
      <c r="B149" t="s">
        <v>282</v>
      </c>
      <c r="C149" t="str">
        <f t="shared" si="4"/>
        <v>_</v>
      </c>
      <c r="D149" t="s">
        <v>11</v>
      </c>
      <c r="E149" t="str">
        <f t="shared" si="5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159</v>
      </c>
      <c r="B150" t="s">
        <v>207</v>
      </c>
      <c r="C150" t="str">
        <f t="shared" si="4"/>
        <v>_</v>
      </c>
      <c r="D150" t="s">
        <v>11</v>
      </c>
      <c r="E150" t="str">
        <f t="shared" si="5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160</v>
      </c>
      <c r="B151" t="s">
        <v>283</v>
      </c>
      <c r="C151" t="str">
        <f t="shared" si="4"/>
        <v>_</v>
      </c>
      <c r="D151" t="s">
        <v>11</v>
      </c>
      <c r="E151" t="str">
        <f t="shared" si="5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161</v>
      </c>
      <c r="B152" t="s">
        <v>241</v>
      </c>
      <c r="C152" t="str">
        <f t="shared" si="4"/>
        <v>Accuracy</v>
      </c>
      <c r="D152" t="s">
        <v>376</v>
      </c>
      <c r="E152" t="s">
        <v>312</v>
      </c>
      <c r="F152" t="s">
        <v>11</v>
      </c>
      <c r="G152" t="s">
        <v>11</v>
      </c>
      <c r="H152" t="s">
        <v>11</v>
      </c>
      <c r="I152" t="s">
        <v>306</v>
      </c>
      <c r="J152" t="s">
        <v>196</v>
      </c>
    </row>
    <row r="153" spans="1:10" x14ac:dyDescent="0.3">
      <c r="A153" t="s">
        <v>162</v>
      </c>
      <c r="B153" t="s">
        <v>284</v>
      </c>
      <c r="C153" t="str">
        <f t="shared" si="4"/>
        <v>Accuracy</v>
      </c>
      <c r="D153" t="s">
        <v>376</v>
      </c>
      <c r="E153" t="s">
        <v>312</v>
      </c>
      <c r="F153" t="s">
        <v>11</v>
      </c>
      <c r="G153" t="s">
        <v>11</v>
      </c>
      <c r="H153" t="s">
        <v>11</v>
      </c>
      <c r="I153" t="s">
        <v>306</v>
      </c>
      <c r="J153" t="s">
        <v>196</v>
      </c>
    </row>
    <row r="154" spans="1:10" x14ac:dyDescent="0.3">
      <c r="A154" t="s">
        <v>163</v>
      </c>
      <c r="B154" t="s">
        <v>285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164</v>
      </c>
      <c r="B155" t="s">
        <v>220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165</v>
      </c>
      <c r="B156" t="s">
        <v>229</v>
      </c>
      <c r="C156" t="str">
        <f t="shared" si="4"/>
        <v>_</v>
      </c>
      <c r="D156" t="s">
        <v>11</v>
      </c>
      <c r="E156" t="str">
        <f t="shared" si="5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166</v>
      </c>
      <c r="B157" t="s">
        <v>202</v>
      </c>
      <c r="C157" t="str">
        <f t="shared" si="4"/>
        <v>_</v>
      </c>
      <c r="D157" t="s">
        <v>11</v>
      </c>
      <c r="E157" t="str">
        <f t="shared" si="5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167</v>
      </c>
      <c r="B158" t="s">
        <v>213</v>
      </c>
      <c r="C158" t="str">
        <f t="shared" si="4"/>
        <v>_</v>
      </c>
      <c r="D158" t="s">
        <v>11</v>
      </c>
      <c r="E158" t="str">
        <f t="shared" si="5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168</v>
      </c>
      <c r="B159" t="s">
        <v>286</v>
      </c>
      <c r="C159" t="str">
        <f t="shared" si="4"/>
        <v>_</v>
      </c>
      <c r="D159" t="s">
        <v>11</v>
      </c>
      <c r="E159" t="str">
        <f t="shared" si="5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169</v>
      </c>
      <c r="B160" t="s">
        <v>215</v>
      </c>
      <c r="C160" t="str">
        <f t="shared" si="4"/>
        <v>_</v>
      </c>
      <c r="D160" t="s">
        <v>11</v>
      </c>
      <c r="E160" t="str">
        <f t="shared" si="5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170</v>
      </c>
      <c r="B161" t="s">
        <v>198</v>
      </c>
      <c r="C161" t="str">
        <f t="shared" si="4"/>
        <v>_</v>
      </c>
      <c r="D161" t="s">
        <v>11</v>
      </c>
      <c r="E161" t="str">
        <f t="shared" si="5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171</v>
      </c>
      <c r="B162" t="s">
        <v>214</v>
      </c>
      <c r="C162" t="str">
        <f t="shared" si="4"/>
        <v>_</v>
      </c>
      <c r="D162" t="s">
        <v>11</v>
      </c>
      <c r="E162" t="str">
        <f t="shared" si="5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172</v>
      </c>
      <c r="B163" t="s">
        <v>200</v>
      </c>
      <c r="C163" t="str">
        <f t="shared" si="4"/>
        <v>_</v>
      </c>
      <c r="D163" t="s">
        <v>11</v>
      </c>
      <c r="E163" t="str">
        <f t="shared" si="5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173</v>
      </c>
      <c r="B164" t="s">
        <v>287</v>
      </c>
      <c r="C164" t="str">
        <f t="shared" si="4"/>
        <v>_</v>
      </c>
      <c r="D164" t="s">
        <v>11</v>
      </c>
      <c r="E164" t="str">
        <f t="shared" si="5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174</v>
      </c>
      <c r="B165" t="s">
        <v>202</v>
      </c>
      <c r="C165" t="str">
        <f t="shared" si="4"/>
        <v>_</v>
      </c>
      <c r="D165" t="s">
        <v>11</v>
      </c>
      <c r="E165" t="str">
        <f t="shared" si="5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175</v>
      </c>
      <c r="B166" t="s">
        <v>288</v>
      </c>
      <c r="C166" t="str">
        <f t="shared" si="4"/>
        <v>_</v>
      </c>
      <c r="D166" t="s">
        <v>11</v>
      </c>
      <c r="E166" t="str">
        <f t="shared" si="5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176</v>
      </c>
      <c r="B167" t="s">
        <v>215</v>
      </c>
      <c r="C167" t="str">
        <f t="shared" si="4"/>
        <v>_</v>
      </c>
      <c r="D167" t="s">
        <v>11</v>
      </c>
      <c r="E167" t="str">
        <f t="shared" si="5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177</v>
      </c>
      <c r="B168" t="s">
        <v>289</v>
      </c>
      <c r="C168" t="str">
        <f t="shared" si="4"/>
        <v>_</v>
      </c>
      <c r="D168" t="s">
        <v>11</v>
      </c>
      <c r="E168" t="str">
        <f t="shared" si="5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t="s">
        <v>178</v>
      </c>
      <c r="B169" t="s">
        <v>290</v>
      </c>
      <c r="C169" t="str">
        <f t="shared" si="4"/>
        <v>_</v>
      </c>
      <c r="D169" t="s">
        <v>11</v>
      </c>
      <c r="E169" t="str">
        <f t="shared" si="5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t="s">
        <v>179</v>
      </c>
      <c r="B170" t="s">
        <v>291</v>
      </c>
      <c r="C170" t="str">
        <f t="shared" si="4"/>
        <v>Kudos</v>
      </c>
      <c r="D170" t="s">
        <v>303</v>
      </c>
      <c r="E170" t="str">
        <f t="shared" si="5"/>
        <v>check</v>
      </c>
      <c r="F170" t="s">
        <v>196</v>
      </c>
      <c r="G170" t="s">
        <v>196</v>
      </c>
      <c r="H170" t="s">
        <v>196</v>
      </c>
      <c r="I170" t="s">
        <v>304</v>
      </c>
      <c r="J170" t="s">
        <v>321</v>
      </c>
    </row>
    <row r="171" spans="1:10" x14ac:dyDescent="0.3">
      <c r="A171" t="s">
        <v>180</v>
      </c>
      <c r="B171" t="s">
        <v>292</v>
      </c>
      <c r="C171" t="str">
        <f t="shared" si="4"/>
        <v>Kudos</v>
      </c>
      <c r="D171" t="s">
        <v>303</v>
      </c>
      <c r="E171" t="str">
        <f t="shared" si="5"/>
        <v>check</v>
      </c>
      <c r="F171" t="s">
        <v>196</v>
      </c>
      <c r="G171" t="s">
        <v>196</v>
      </c>
      <c r="H171" t="s">
        <v>196</v>
      </c>
      <c r="I171" t="s">
        <v>304</v>
      </c>
      <c r="J171" t="s">
        <v>321</v>
      </c>
    </row>
    <row r="172" spans="1:10" x14ac:dyDescent="0.3">
      <c r="A172" t="s">
        <v>181</v>
      </c>
      <c r="B172" t="s">
        <v>220</v>
      </c>
      <c r="C172" t="str">
        <f t="shared" si="4"/>
        <v>Kudos</v>
      </c>
      <c r="D172" t="s">
        <v>303</v>
      </c>
      <c r="E172" t="str">
        <f t="shared" si="5"/>
        <v>check</v>
      </c>
      <c r="F172" t="s">
        <v>196</v>
      </c>
      <c r="G172" t="s">
        <v>196</v>
      </c>
      <c r="H172" t="s">
        <v>196</v>
      </c>
      <c r="I172" t="s">
        <v>304</v>
      </c>
      <c r="J172" t="s">
        <v>321</v>
      </c>
    </row>
    <row r="173" spans="1:10" x14ac:dyDescent="0.3">
      <c r="A173" t="s">
        <v>182</v>
      </c>
      <c r="B173" t="s">
        <v>293</v>
      </c>
      <c r="C173" t="str">
        <f t="shared" si="4"/>
        <v>Kudos</v>
      </c>
      <c r="D173" t="s">
        <v>303</v>
      </c>
      <c r="E173" t="str">
        <f t="shared" si="5"/>
        <v>check</v>
      </c>
      <c r="F173" t="s">
        <v>196</v>
      </c>
      <c r="G173" t="s">
        <v>196</v>
      </c>
      <c r="H173" t="s">
        <v>196</v>
      </c>
      <c r="I173" t="s">
        <v>304</v>
      </c>
      <c r="J173" t="s">
        <v>321</v>
      </c>
    </row>
    <row r="174" spans="1:10" x14ac:dyDescent="0.3">
      <c r="A174" t="s">
        <v>183</v>
      </c>
      <c r="B174" t="s">
        <v>202</v>
      </c>
      <c r="C174" t="str">
        <f t="shared" si="4"/>
        <v>_</v>
      </c>
      <c r="D174" t="s">
        <v>11</v>
      </c>
      <c r="E174" t="str">
        <f t="shared" si="5"/>
        <v>_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3">
      <c r="A175" t="s">
        <v>184</v>
      </c>
      <c r="B175" t="s">
        <v>205</v>
      </c>
      <c r="C175" t="str">
        <f t="shared" si="4"/>
        <v>_</v>
      </c>
      <c r="D175" t="s">
        <v>11</v>
      </c>
      <c r="E175" t="str">
        <f t="shared" si="5"/>
        <v>_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3">
      <c r="A176" t="s">
        <v>185</v>
      </c>
      <c r="B176" t="s">
        <v>206</v>
      </c>
      <c r="C176" t="str">
        <f t="shared" si="4"/>
        <v>_</v>
      </c>
      <c r="D176" t="s">
        <v>11</v>
      </c>
      <c r="E176" t="str">
        <f t="shared" si="5"/>
        <v>_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3">
      <c r="A177" t="s">
        <v>186</v>
      </c>
      <c r="B177" t="s">
        <v>207</v>
      </c>
      <c r="C177" t="str">
        <f t="shared" si="4"/>
        <v>_</v>
      </c>
      <c r="D177" t="s">
        <v>11</v>
      </c>
      <c r="E177" t="str">
        <f t="shared" si="5"/>
        <v>_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3">
      <c r="A178" t="s">
        <v>187</v>
      </c>
      <c r="B178" t="s">
        <v>294</v>
      </c>
      <c r="C178" t="str">
        <f t="shared" si="4"/>
        <v>_</v>
      </c>
      <c r="D178" t="s">
        <v>11</v>
      </c>
      <c r="E178" t="str">
        <f t="shared" si="5"/>
        <v>_</v>
      </c>
      <c r="F178" t="s">
        <v>11</v>
      </c>
      <c r="G178" t="s">
        <v>11</v>
      </c>
      <c r="H178" t="s">
        <v>11</v>
      </c>
      <c r="I178" t="s">
        <v>11</v>
      </c>
      <c r="J178" t="s">
        <v>11</v>
      </c>
    </row>
    <row r="179" spans="1:10" x14ac:dyDescent="0.3">
      <c r="A179" t="s">
        <v>188</v>
      </c>
      <c r="B179" t="s">
        <v>209</v>
      </c>
      <c r="C179" t="str">
        <f t="shared" si="4"/>
        <v>_</v>
      </c>
      <c r="D179" t="s">
        <v>11</v>
      </c>
      <c r="E179" t="str">
        <f t="shared" si="5"/>
        <v>_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</row>
    <row r="180" spans="1:10" x14ac:dyDescent="0.3">
      <c r="A180" t="s">
        <v>189</v>
      </c>
      <c r="B180" t="s">
        <v>210</v>
      </c>
      <c r="C180" t="str">
        <f t="shared" si="4"/>
        <v>_</v>
      </c>
      <c r="D180" t="s">
        <v>11</v>
      </c>
      <c r="E180" t="str">
        <f t="shared" si="5"/>
        <v>_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</row>
    <row r="181" spans="1:10" x14ac:dyDescent="0.3">
      <c r="A181" t="s">
        <v>190</v>
      </c>
      <c r="B181" t="s">
        <v>202</v>
      </c>
      <c r="C181" t="str">
        <f t="shared" si="4"/>
        <v>_</v>
      </c>
      <c r="D181" t="s">
        <v>11</v>
      </c>
      <c r="E181" t="str">
        <f t="shared" si="5"/>
        <v>_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</row>
    <row r="182" spans="1:10" x14ac:dyDescent="0.3">
      <c r="A182" t="s">
        <v>191</v>
      </c>
      <c r="B182" t="s">
        <v>211</v>
      </c>
      <c r="C182" t="str">
        <f t="shared" si="4"/>
        <v>_</v>
      </c>
      <c r="D182" t="s">
        <v>11</v>
      </c>
      <c r="E182" t="str">
        <f t="shared" si="5"/>
        <v>_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  <row r="183" spans="1:10" x14ac:dyDescent="0.3">
      <c r="A183" t="s">
        <v>192</v>
      </c>
      <c r="B183" t="s">
        <v>212</v>
      </c>
      <c r="C183" t="str">
        <f t="shared" si="4"/>
        <v>_</v>
      </c>
      <c r="D183" t="s">
        <v>11</v>
      </c>
      <c r="E183" t="str">
        <f t="shared" si="5"/>
        <v>_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</row>
    <row r="184" spans="1:10" x14ac:dyDescent="0.3">
      <c r="A184" t="s">
        <v>193</v>
      </c>
      <c r="B184" t="s">
        <v>213</v>
      </c>
      <c r="C184" t="str">
        <f t="shared" si="4"/>
        <v>_</v>
      </c>
      <c r="D184" t="s">
        <v>11</v>
      </c>
      <c r="E184" t="str">
        <f t="shared" si="5"/>
        <v>_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</row>
    <row r="185" spans="1:10" x14ac:dyDescent="0.3">
      <c r="A185" t="s">
        <v>194</v>
      </c>
      <c r="B185" t="s">
        <v>214</v>
      </c>
      <c r="C185" t="str">
        <f t="shared" si="4"/>
        <v>_</v>
      </c>
      <c r="D185" t="s">
        <v>11</v>
      </c>
      <c r="E185" t="str">
        <f t="shared" si="5"/>
        <v>_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 x14ac:dyDescent="0.3">
      <c r="A186" t="s">
        <v>195</v>
      </c>
      <c r="B186" t="s">
        <v>215</v>
      </c>
      <c r="C186" t="str">
        <f t="shared" si="4"/>
        <v>_</v>
      </c>
      <c r="D186" t="s">
        <v>11</v>
      </c>
      <c r="E186" t="str">
        <f t="shared" si="5"/>
        <v>_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</row>
  </sheetData>
  <autoFilter ref="A1:J186" xr:uid="{A6E1AC79-32F4-45CC-A989-FFC35094C9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</vt:lpstr>
      <vt:lpstr>MT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2025-11-21T07:39:30Z</dcterms:created>
  <dcterms:modified xsi:type="dcterms:W3CDTF">2025-11-26T17:13:57Z</dcterms:modified>
</cp:coreProperties>
</file>