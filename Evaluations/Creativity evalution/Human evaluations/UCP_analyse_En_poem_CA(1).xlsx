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okl\Downloads\"/>
    </mc:Choice>
  </mc:AlternateContent>
  <xr:revisionPtr revIDLastSave="0" documentId="13_ncr:1_{87363996-37C5-491B-9CB0-BA50703CDF85}" xr6:coauthVersionLast="47" xr6:coauthVersionMax="47" xr10:uidLastSave="{00000000-0000-0000-0000-000000000000}"/>
  <bookViews>
    <workbookView xWindow="11424" yWindow="0" windowWidth="11712" windowHeight="12336" activeTab="1" xr2:uid="{50B24152-3D8F-446B-AE2D-8647D7E942F1}"/>
  </bookViews>
  <sheets>
    <sheet name="Sheet1" sheetId="1" r:id="rId1"/>
    <sheet name="Sheet2" sheetId="2" r:id="rId2"/>
  </sheets>
  <definedNames>
    <definedName name="_xlnm._FilterDatabase" localSheetId="0" hidden="1">Sheet1!$A$1:$J$26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1" l="1"/>
  <c r="I33" i="1"/>
  <c r="I32" i="1"/>
  <c r="I31" i="1"/>
  <c r="I30" i="1"/>
  <c r="I36" i="1" s="1"/>
  <c r="F34" i="1"/>
  <c r="F33" i="1"/>
  <c r="F32" i="1"/>
  <c r="F31" i="1"/>
  <c r="F30" i="1"/>
  <c r="F37" i="1" s="1"/>
  <c r="D37" i="1"/>
  <c r="D36" i="1"/>
  <c r="D34" i="1"/>
  <c r="D33" i="1"/>
  <c r="D32" i="1"/>
  <c r="D31" i="1"/>
  <c r="D30" i="1"/>
  <c r="D3" i="2" l="1"/>
  <c r="D5" i="2"/>
  <c r="I37" i="1"/>
  <c r="D4" i="2"/>
  <c r="D6" i="2" s="1"/>
  <c r="D7" i="2"/>
  <c r="C4" i="2"/>
  <c r="C5" i="2"/>
  <c r="F36" i="1"/>
  <c r="C3" i="2" s="1"/>
  <c r="C6" i="2" s="1"/>
  <c r="C7" i="2"/>
  <c r="B7" i="2"/>
  <c r="B3" i="2"/>
  <c r="B4" i="2"/>
  <c r="B6" i="2" s="1"/>
  <c r="B5" i="2"/>
  <c r="B16" i="2" l="1"/>
  <c r="D16" i="2"/>
  <c r="C16" i="2"/>
</calcChain>
</file>

<file path=xl/sharedStrings.xml><?xml version="1.0" encoding="utf-8"?>
<sst xmlns="http://schemas.openxmlformats.org/spreadsheetml/2006/main" count="231" uniqueCount="127">
  <si>
    <t>English</t>
  </si>
  <si>
    <t>fresh-washed</t>
  </si>
  <si>
    <t>fair</t>
  </si>
  <si>
    <t>pours</t>
  </si>
  <si>
    <t>bores through</t>
  </si>
  <si>
    <t>lathes</t>
  </si>
  <si>
    <t>lathes and planes</t>
  </si>
  <si>
    <t>cleaves</t>
  </si>
  <si>
    <t>flaws</t>
  </si>
  <si>
    <t>cracks it to</t>
  </si>
  <si>
    <t>bright light</t>
  </si>
  <si>
    <t>wobble deliciously</t>
  </si>
  <si>
    <t>whirring</t>
  </si>
  <si>
    <t>reeling</t>
  </si>
  <si>
    <t>planes of light</t>
  </si>
  <si>
    <t>jar</t>
  </si>
  <si>
    <t>sun-flawed</t>
  </si>
  <si>
    <t>beryl water</t>
  </si>
  <si>
    <t>too bright to bear</t>
  </si>
  <si>
    <t>covers</t>
  </si>
  <si>
    <t>The sky is blue and high.</t>
  </si>
  <si>
    <t>flaps</t>
  </si>
  <si>
    <t>HT</t>
  </si>
  <si>
    <t>Annotations of UCPs</t>
  </si>
  <si>
    <t>PE</t>
  </si>
  <si>
    <t>MT</t>
  </si>
  <si>
    <t xml:space="preserve">The day is fresh-washed and fair, and there is a smell of tulips and narcissus in the air. </t>
  </si>
  <si>
    <t xml:space="preserve">The sunshine pours in at the bath-room window and bores through the water in the bath-tub in lathes and planes of greenish-white. </t>
  </si>
  <si>
    <t xml:space="preserve">It cleaves the water into flaws like a jewel, and cracks it to bright light. </t>
  </si>
  <si>
    <t xml:space="preserve">Little spots of sunshine lie on the surface of the water and dance, dance, and their reflections wobble deliciously over the ceiling; </t>
  </si>
  <si>
    <t xml:space="preserve"> </t>
  </si>
  <si>
    <t xml:space="preserve">a stir of my finger sets them whirring, reeling.  </t>
  </si>
  <si>
    <t xml:space="preserve">I move a foot and the planes of light in the water jar.  </t>
  </si>
  <si>
    <t xml:space="preserve">I lie back and laugh, and let the green-white water, the sun-flawed beryl water, flow over me. </t>
  </si>
  <si>
    <t xml:space="preserve">  </t>
  </si>
  <si>
    <t xml:space="preserve">The day is almost too bright to bear, the green water covers me from the too bright day.  </t>
  </si>
  <si>
    <t xml:space="preserve">I will lie here awhile and play with the water and the sun spots.   </t>
  </si>
  <si>
    <t xml:space="preserve">A crow flaps by the window, and there is a whiff of tulips and narcissus in the air.  </t>
  </si>
  <si>
    <t>fair … air</t>
  </si>
  <si>
    <t>the sun spots</t>
  </si>
  <si>
    <t>there is a smell … in the air</t>
  </si>
  <si>
    <t>CSM</t>
  </si>
  <si>
    <t>CSA</t>
  </si>
  <si>
    <t>CSC</t>
  </si>
  <si>
    <t>All CS</t>
  </si>
  <si>
    <t>Reproduction</t>
  </si>
  <si>
    <t>Total</t>
  </si>
  <si>
    <t>#Errors</t>
  </si>
  <si>
    <t>#Errorpoints</t>
  </si>
  <si>
    <t>Kudos</t>
  </si>
  <si>
    <t>#Words</t>
  </si>
  <si>
    <t>CI</t>
  </si>
  <si>
    <t xml:space="preserve">fresc </t>
  </si>
  <si>
    <t>radiant</t>
  </si>
  <si>
    <t>radiant… fragrant</t>
  </si>
  <si>
    <t>a doll</t>
  </si>
  <si>
    <t>s'obre pas</t>
  </si>
  <si>
    <t>sanefes</t>
  </si>
  <si>
    <t>solca</t>
  </si>
  <si>
    <t>imperfeccions</t>
  </si>
  <si>
    <t>hi obri esquerdes</t>
  </si>
  <si>
    <t>fulgor esplendorós</t>
  </si>
  <si>
    <t>tot de centelles</t>
  </si>
  <si>
    <t>balanceig deliciós</t>
  </si>
  <si>
    <t>titil·lant</t>
  </si>
  <si>
    <t>tremolós</t>
  </si>
  <si>
    <t>sanefes de llum</t>
  </si>
  <si>
    <t>trontollen</t>
  </si>
  <si>
    <t>marcat de sol</t>
  </si>
  <si>
    <t>l'aigua de beril</t>
  </si>
  <si>
    <t>enlluerna de tan radiant</t>
  </si>
  <si>
    <t>em tapa</t>
  </si>
  <si>
    <t>el sol centellejant</t>
  </si>
  <si>
    <t>passa esbategant les ales</t>
  </si>
  <si>
    <t>R</t>
  </si>
  <si>
    <t>O</t>
  </si>
  <si>
    <t>clar</t>
  </si>
  <si>
    <t>immaculat</t>
  </si>
  <si>
    <t>a raig</t>
  </si>
  <si>
    <t>perfora</t>
  </si>
  <si>
    <t>làmines</t>
  </si>
  <si>
    <t>làmines i volutes</t>
  </si>
  <si>
    <t>l'esquerda</t>
  </si>
  <si>
    <t>clivella</t>
  </si>
  <si>
    <t>centelles de llum</t>
  </si>
  <si>
    <t>tot de volves menudes de sol</t>
  </si>
  <si>
    <t>capcinegen delitosament</t>
  </si>
  <si>
    <t>les faig girar</t>
  </si>
  <si>
    <t>s'arremolinen</t>
  </si>
  <si>
    <t>làmines de llum</t>
  </si>
  <si>
    <t>entrexoquen</t>
  </si>
  <si>
    <t>esquerdada de sol</t>
  </si>
  <si>
    <t>l'aigua de brillant o de maragda</t>
  </si>
  <si>
    <t>tan radiant que costa d'aguantar</t>
  </si>
  <si>
    <t>em protegeix</t>
  </si>
  <si>
    <t>volvetes de sol</t>
  </si>
  <si>
    <t>bat les ales</t>
  </si>
  <si>
    <t>little spots of sunshine</t>
  </si>
  <si>
    <t>I'm not sure whether to consider it as a creative shift or an error. It seems that the machine doesn't produce a concrete solution but provides two options of '"beryl".</t>
  </si>
  <si>
    <t>Comments on PE</t>
  </si>
  <si>
    <t>rentat de nou</t>
  </si>
  <si>
    <t>forada</t>
  </si>
  <si>
    <t>làmines i plans</t>
  </si>
  <si>
    <t>l'esberla</t>
  </si>
  <si>
    <t>llum viva</t>
  </si>
  <si>
    <t>pètals menuts de sol</t>
  </si>
  <si>
    <t>tremolen delitós</t>
  </si>
  <si>
    <t>els faig giravoltar</t>
  </si>
  <si>
    <t>vacil·lar</t>
  </si>
  <si>
    <t>plans de llum</t>
  </si>
  <si>
    <t>esberlada de sol</t>
  </si>
  <si>
    <t>l'aigua d'esmaragda</t>
  </si>
  <si>
    <t>gairebé massa radiant per suportar</t>
  </si>
  <si>
    <t>m'amaga</t>
  </si>
  <si>
    <t>taques de sol</t>
  </si>
  <si>
    <t>fueteja l'aire</t>
  </si>
  <si>
    <t xml:space="preserve">It doesn't make sense. </t>
  </si>
  <si>
    <t>Comments on MT</t>
  </si>
  <si>
    <t>In fact, there is no concordance between the verb and its complement, so even though the meaning is correct, there is a grammar error.</t>
  </si>
  <si>
    <t xml:space="preserve">Grammatically incorrect, but the translation meaning could be a reproduction. </t>
  </si>
  <si>
    <t>I think the translation of "spot" is too literal, but it could fit in a poem.</t>
  </si>
  <si>
    <t xml:space="preserve">(i la tulipa i el narcís) omplen l’aire fragant. </t>
  </si>
  <si>
    <t xml:space="preserve"> i flaire ... a l’aire.</t>
  </si>
  <si>
    <t xml:space="preserve"> i l’aire fa olor…</t>
  </si>
  <si>
    <t>flaire … l'aire</t>
  </si>
  <si>
    <t>total CS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</si>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</sst>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2EC83-5F1C-49EA-A539-79252E6DC49C}">
  <dimension ref="A1:J37"/>
  <sheetViews>
    <sheetView topLeftCell="A26" workbookViewId="0">
      <pane xSplit="1" topLeftCell="E1" activePane="topRight" state="frozen"/>
      <selection pane="topRight" activeCell="E40" sqref="E40"/>
    </sheetView>
  </sheetViews>
  <sheetFormatPr defaultColWidth="9.109375" defaultRowHeight="14.4" x14ac:dyDescent="0.3"/>
  <cols>
    <col min="1" max="1" width="32.44140625" style="2" customWidth="1"/>
    <col min="2" max="2" width="27.6640625" style="2" customWidth="1"/>
    <col min="3" max="3" width="25.33203125" style="2" customWidth="1"/>
    <col min="4" max="4" width="13.33203125" style="2" customWidth="1"/>
    <col min="5" max="5" width="24.6640625" style="2" customWidth="1"/>
    <col min="6" max="7" width="14.33203125" style="2" customWidth="1"/>
    <col min="8" max="8" width="25.33203125" style="2" customWidth="1"/>
    <col min="9" max="9" width="13.44140625" style="2" customWidth="1"/>
    <col min="10" max="10" width="23.44140625" style="2" customWidth="1"/>
    <col min="11" max="16384" width="9.109375" style="2"/>
  </cols>
  <sheetData>
    <row r="1" spans="1:10" ht="28.8" x14ac:dyDescent="0.3">
      <c r="A1" s="1" t="s">
        <v>0</v>
      </c>
      <c r="C1" s="2" t="s">
        <v>22</v>
      </c>
      <c r="D1" s="2" t="s">
        <v>23</v>
      </c>
      <c r="E1" s="2" t="s">
        <v>24</v>
      </c>
      <c r="F1" s="2" t="s">
        <v>23</v>
      </c>
      <c r="G1" s="2" t="s">
        <v>99</v>
      </c>
      <c r="H1" s="2" t="s">
        <v>25</v>
      </c>
      <c r="I1" s="2" t="s">
        <v>23</v>
      </c>
      <c r="J1" s="2" t="s">
        <v>117</v>
      </c>
    </row>
    <row r="2" spans="1:10" ht="43.2" x14ac:dyDescent="0.3">
      <c r="A2" s="3" t="s">
        <v>26</v>
      </c>
      <c r="B2" s="4" t="s">
        <v>1</v>
      </c>
      <c r="C2" s="2" t="s">
        <v>52</v>
      </c>
      <c r="D2" s="2" t="s">
        <v>74</v>
      </c>
      <c r="E2" s="2" t="s">
        <v>76</v>
      </c>
      <c r="F2" s="2" t="s">
        <v>74</v>
      </c>
      <c r="H2" s="2" t="s">
        <v>100</v>
      </c>
      <c r="I2" s="2" t="s">
        <v>74</v>
      </c>
    </row>
    <row r="3" spans="1:10" x14ac:dyDescent="0.3">
      <c r="A3" s="3"/>
      <c r="B3" s="4" t="s">
        <v>2</v>
      </c>
      <c r="C3" s="2" t="s">
        <v>53</v>
      </c>
      <c r="D3" s="2" t="s">
        <v>74</v>
      </c>
      <c r="E3" s="2" t="s">
        <v>77</v>
      </c>
      <c r="F3" s="2" t="s">
        <v>74</v>
      </c>
      <c r="H3" s="2" t="s">
        <v>76</v>
      </c>
      <c r="I3" s="2" t="s">
        <v>74</v>
      </c>
    </row>
    <row r="4" spans="1:10" x14ac:dyDescent="0.3">
      <c r="A4" s="3"/>
      <c r="B4" s="4" t="s">
        <v>38</v>
      </c>
      <c r="C4" s="2" t="s">
        <v>54</v>
      </c>
      <c r="D4" s="2" t="s">
        <v>41</v>
      </c>
      <c r="E4" s="2" t="s">
        <v>124</v>
      </c>
      <c r="F4" s="2" t="s">
        <v>41</v>
      </c>
      <c r="I4" s="2" t="s">
        <v>75</v>
      </c>
    </row>
    <row r="5" spans="1:10" ht="28.8" x14ac:dyDescent="0.3">
      <c r="A5" s="3" t="s">
        <v>30</v>
      </c>
      <c r="B5" s="4" t="s">
        <v>40</v>
      </c>
      <c r="C5" s="2" t="s">
        <v>121</v>
      </c>
      <c r="D5" s="2" t="s">
        <v>41</v>
      </c>
      <c r="E5" s="2" t="s">
        <v>122</v>
      </c>
      <c r="F5" s="2" t="s">
        <v>74</v>
      </c>
      <c r="H5" s="2" t="s">
        <v>123</v>
      </c>
      <c r="I5" s="2" t="s">
        <v>74</v>
      </c>
    </row>
    <row r="6" spans="1:10" ht="57.6" x14ac:dyDescent="0.3">
      <c r="A6" s="5" t="s">
        <v>27</v>
      </c>
      <c r="B6" s="6" t="s">
        <v>3</v>
      </c>
      <c r="C6" s="2" t="s">
        <v>55</v>
      </c>
      <c r="D6" s="2" t="s">
        <v>41</v>
      </c>
      <c r="E6" s="2" t="s">
        <v>78</v>
      </c>
      <c r="F6" s="2" t="s">
        <v>41</v>
      </c>
      <c r="H6" s="2" t="s">
        <v>78</v>
      </c>
      <c r="I6" s="2" t="s">
        <v>41</v>
      </c>
    </row>
    <row r="7" spans="1:10" x14ac:dyDescent="0.3">
      <c r="A7" s="5" t="s">
        <v>30</v>
      </c>
      <c r="B7" s="6" t="s">
        <v>4</v>
      </c>
      <c r="C7" s="2" t="s">
        <v>56</v>
      </c>
      <c r="D7" s="2" t="s">
        <v>41</v>
      </c>
      <c r="E7" s="2" t="s">
        <v>79</v>
      </c>
      <c r="F7" s="2" t="s">
        <v>74</v>
      </c>
      <c r="H7" s="2" t="s">
        <v>101</v>
      </c>
      <c r="I7" s="2" t="s">
        <v>74</v>
      </c>
    </row>
    <row r="8" spans="1:10" x14ac:dyDescent="0.3">
      <c r="A8" s="5"/>
      <c r="B8" s="6" t="s">
        <v>5</v>
      </c>
      <c r="C8" s="2" t="s">
        <v>57</v>
      </c>
      <c r="D8" s="2" t="s">
        <v>42</v>
      </c>
      <c r="E8" s="2" t="s">
        <v>80</v>
      </c>
      <c r="F8" s="2" t="s">
        <v>74</v>
      </c>
      <c r="H8" s="2" t="s">
        <v>80</v>
      </c>
      <c r="I8" s="2" t="s">
        <v>74</v>
      </c>
    </row>
    <row r="9" spans="1:10" x14ac:dyDescent="0.3">
      <c r="A9" s="5" t="s">
        <v>30</v>
      </c>
      <c r="B9" s="6" t="s">
        <v>6</v>
      </c>
      <c r="D9" s="2" t="s">
        <v>75</v>
      </c>
      <c r="E9" s="2" t="s">
        <v>81</v>
      </c>
      <c r="F9" s="2" t="s">
        <v>74</v>
      </c>
      <c r="H9" s="2" t="s">
        <v>102</v>
      </c>
      <c r="I9" s="2" t="s">
        <v>74</v>
      </c>
      <c r="J9" s="2" t="s">
        <v>116</v>
      </c>
    </row>
    <row r="10" spans="1:10" ht="28.8" x14ac:dyDescent="0.3">
      <c r="A10" s="5" t="s">
        <v>28</v>
      </c>
      <c r="B10" s="6" t="s">
        <v>7</v>
      </c>
      <c r="C10" s="2" t="s">
        <v>58</v>
      </c>
      <c r="D10" s="2" t="s">
        <v>74</v>
      </c>
      <c r="E10" s="2" t="s">
        <v>82</v>
      </c>
      <c r="F10" s="2" t="s">
        <v>74</v>
      </c>
      <c r="H10" s="2" t="s">
        <v>103</v>
      </c>
      <c r="I10" s="2" t="s">
        <v>74</v>
      </c>
    </row>
    <row r="11" spans="1:10" x14ac:dyDescent="0.3">
      <c r="A11" s="5"/>
      <c r="B11" s="6" t="s">
        <v>8</v>
      </c>
      <c r="C11" s="2" t="s">
        <v>59</v>
      </c>
      <c r="D11" s="2" t="s">
        <v>74</v>
      </c>
      <c r="F11" s="2" t="s">
        <v>75</v>
      </c>
      <c r="I11" s="2" t="s">
        <v>75</v>
      </c>
    </row>
    <row r="12" spans="1:10" x14ac:dyDescent="0.3">
      <c r="A12" s="5" t="s">
        <v>30</v>
      </c>
      <c r="B12" s="6" t="s">
        <v>9</v>
      </c>
      <c r="C12" s="2" t="s">
        <v>60</v>
      </c>
      <c r="D12" s="2" t="s">
        <v>74</v>
      </c>
      <c r="E12" s="2" t="s">
        <v>83</v>
      </c>
      <c r="F12" s="2" t="s">
        <v>74</v>
      </c>
      <c r="H12" s="2" t="s">
        <v>83</v>
      </c>
      <c r="I12" s="2" t="s">
        <v>74</v>
      </c>
    </row>
    <row r="13" spans="1:10" x14ac:dyDescent="0.3">
      <c r="A13" s="5" t="s">
        <v>30</v>
      </c>
      <c r="B13" s="6" t="s">
        <v>10</v>
      </c>
      <c r="C13" s="2" t="s">
        <v>61</v>
      </c>
      <c r="D13" s="2" t="s">
        <v>43</v>
      </c>
      <c r="E13" s="2" t="s">
        <v>84</v>
      </c>
      <c r="F13" s="2" t="s">
        <v>41</v>
      </c>
      <c r="H13" s="2" t="s">
        <v>104</v>
      </c>
      <c r="I13" s="2" t="s">
        <v>74</v>
      </c>
    </row>
    <row r="14" spans="1:10" ht="57.6" x14ac:dyDescent="0.3">
      <c r="A14" s="5" t="s">
        <v>29</v>
      </c>
      <c r="B14" s="6" t="s">
        <v>97</v>
      </c>
      <c r="C14" s="2" t="s">
        <v>62</v>
      </c>
      <c r="D14" s="2" t="s">
        <v>41</v>
      </c>
      <c r="E14" s="2" t="s">
        <v>85</v>
      </c>
      <c r="F14" s="2" t="s">
        <v>41</v>
      </c>
      <c r="H14" s="2" t="s">
        <v>105</v>
      </c>
      <c r="I14" s="2" t="s">
        <v>41</v>
      </c>
    </row>
    <row r="15" spans="1:10" ht="86.4" x14ac:dyDescent="0.3">
      <c r="A15" s="5" t="s">
        <v>30</v>
      </c>
      <c r="B15" s="6" t="s">
        <v>11</v>
      </c>
      <c r="C15" s="2" t="s">
        <v>63</v>
      </c>
      <c r="D15" s="2" t="s">
        <v>74</v>
      </c>
      <c r="E15" s="2" t="s">
        <v>86</v>
      </c>
      <c r="F15" s="2" t="s">
        <v>74</v>
      </c>
      <c r="H15" s="2" t="s">
        <v>106</v>
      </c>
      <c r="I15" s="2" t="s">
        <v>74</v>
      </c>
      <c r="J15" s="2" t="s">
        <v>118</v>
      </c>
    </row>
    <row r="16" spans="1:10" ht="28.8" x14ac:dyDescent="0.3">
      <c r="A16" s="5" t="s">
        <v>31</v>
      </c>
      <c r="B16" s="6" t="s">
        <v>12</v>
      </c>
      <c r="C16" s="2" t="s">
        <v>64</v>
      </c>
      <c r="D16" s="2" t="s">
        <v>74</v>
      </c>
      <c r="E16" s="2" t="s">
        <v>87</v>
      </c>
      <c r="F16" s="2" t="s">
        <v>43</v>
      </c>
      <c r="H16" s="2" t="s">
        <v>107</v>
      </c>
      <c r="I16" s="2" t="s">
        <v>43</v>
      </c>
    </row>
    <row r="17" spans="1:10" x14ac:dyDescent="0.3">
      <c r="A17" s="5"/>
      <c r="B17" s="6" t="s">
        <v>13</v>
      </c>
      <c r="C17" s="2" t="s">
        <v>65</v>
      </c>
      <c r="D17" s="2" t="s">
        <v>74</v>
      </c>
      <c r="E17" s="2" t="s">
        <v>88</v>
      </c>
      <c r="F17" s="2" t="s">
        <v>43</v>
      </c>
      <c r="H17" s="2" t="s">
        <v>108</v>
      </c>
      <c r="I17" s="2" t="s">
        <v>74</v>
      </c>
    </row>
    <row r="18" spans="1:10" ht="28.8" x14ac:dyDescent="0.3">
      <c r="A18" s="3" t="s">
        <v>32</v>
      </c>
      <c r="B18" s="4" t="s">
        <v>14</v>
      </c>
      <c r="C18" s="2" t="s">
        <v>66</v>
      </c>
      <c r="D18" s="2" t="s">
        <v>41</v>
      </c>
      <c r="E18" s="2" t="s">
        <v>89</v>
      </c>
      <c r="F18" s="2" t="s">
        <v>74</v>
      </c>
      <c r="H18" s="2" t="s">
        <v>109</v>
      </c>
      <c r="I18" s="2" t="s">
        <v>74</v>
      </c>
    </row>
    <row r="19" spans="1:10" x14ac:dyDescent="0.3">
      <c r="A19" s="3"/>
      <c r="B19" s="4" t="s">
        <v>15</v>
      </c>
      <c r="C19" s="2" t="s">
        <v>67</v>
      </c>
      <c r="D19" s="2" t="s">
        <v>74</v>
      </c>
      <c r="E19" s="2" t="s">
        <v>90</v>
      </c>
      <c r="F19" s="2" t="s">
        <v>74</v>
      </c>
      <c r="H19" s="2" t="s">
        <v>67</v>
      </c>
      <c r="I19" s="2" t="s">
        <v>74</v>
      </c>
    </row>
    <row r="20" spans="1:10" ht="43.2" x14ac:dyDescent="0.3">
      <c r="A20" s="5" t="s">
        <v>33</v>
      </c>
      <c r="B20" s="6" t="s">
        <v>16</v>
      </c>
      <c r="C20" s="2" t="s">
        <v>68</v>
      </c>
      <c r="D20" s="2" t="s">
        <v>41</v>
      </c>
      <c r="E20" s="2" t="s">
        <v>91</v>
      </c>
      <c r="F20" s="2" t="s">
        <v>41</v>
      </c>
      <c r="H20" s="2" t="s">
        <v>110</v>
      </c>
      <c r="I20" s="2" t="s">
        <v>41</v>
      </c>
    </row>
    <row r="21" spans="1:10" ht="187.2" x14ac:dyDescent="0.3">
      <c r="A21" s="5" t="s">
        <v>34</v>
      </c>
      <c r="B21" s="6" t="s">
        <v>17</v>
      </c>
      <c r="C21" s="2" t="s">
        <v>69</v>
      </c>
      <c r="D21" s="2" t="s">
        <v>74</v>
      </c>
      <c r="E21" s="2" t="s">
        <v>92</v>
      </c>
      <c r="F21" s="2" t="s">
        <v>43</v>
      </c>
      <c r="G21" s="2" t="s">
        <v>98</v>
      </c>
      <c r="H21" s="2" t="s">
        <v>111</v>
      </c>
      <c r="I21" s="2" t="s">
        <v>74</v>
      </c>
    </row>
    <row r="22" spans="1:10" ht="43.2" x14ac:dyDescent="0.3">
      <c r="A22" s="5" t="s">
        <v>35</v>
      </c>
      <c r="B22" s="6" t="s">
        <v>18</v>
      </c>
      <c r="C22" s="2" t="s">
        <v>70</v>
      </c>
      <c r="D22" s="2" t="s">
        <v>41</v>
      </c>
      <c r="E22" s="2" t="s">
        <v>93</v>
      </c>
      <c r="F22" s="2" t="s">
        <v>74</v>
      </c>
      <c r="H22" s="2" t="s">
        <v>112</v>
      </c>
      <c r="I22" s="2" t="s">
        <v>74</v>
      </c>
      <c r="J22" s="2" t="s">
        <v>119</v>
      </c>
    </row>
    <row r="23" spans="1:10" x14ac:dyDescent="0.3">
      <c r="A23" s="5"/>
      <c r="B23" s="6" t="s">
        <v>19</v>
      </c>
      <c r="C23" s="2" t="s">
        <v>71</v>
      </c>
      <c r="D23" s="2" t="s">
        <v>74</v>
      </c>
      <c r="E23" s="2" t="s">
        <v>94</v>
      </c>
      <c r="F23" s="2" t="s">
        <v>43</v>
      </c>
      <c r="H23" s="2" t="s">
        <v>113</v>
      </c>
      <c r="I23" s="2" t="s">
        <v>43</v>
      </c>
    </row>
    <row r="24" spans="1:10" ht="43.2" x14ac:dyDescent="0.3">
      <c r="A24" s="5" t="s">
        <v>36</v>
      </c>
      <c r="B24" s="6" t="s">
        <v>39</v>
      </c>
      <c r="C24" s="2" t="s">
        <v>72</v>
      </c>
      <c r="D24" s="2" t="s">
        <v>41</v>
      </c>
      <c r="E24" s="2" t="s">
        <v>95</v>
      </c>
      <c r="F24" s="2" t="s">
        <v>41</v>
      </c>
      <c r="H24" s="2" t="s">
        <v>114</v>
      </c>
      <c r="I24" s="2" t="s">
        <v>74</v>
      </c>
      <c r="J24" s="2" t="s">
        <v>120</v>
      </c>
    </row>
    <row r="25" spans="1:10" x14ac:dyDescent="0.3">
      <c r="A25" s="3" t="s">
        <v>20</v>
      </c>
      <c r="B25" s="4"/>
    </row>
    <row r="26" spans="1:10" ht="43.2" x14ac:dyDescent="0.3">
      <c r="A26" s="1" t="s">
        <v>37</v>
      </c>
      <c r="B26" s="2" t="s">
        <v>21</v>
      </c>
      <c r="C26" s="2" t="s">
        <v>73</v>
      </c>
      <c r="D26" s="2" t="s">
        <v>43</v>
      </c>
      <c r="E26" s="2" t="s">
        <v>96</v>
      </c>
      <c r="F26" s="2" t="s">
        <v>74</v>
      </c>
      <c r="H26" s="2" t="s">
        <v>115</v>
      </c>
      <c r="I26" s="2" t="s">
        <v>41</v>
      </c>
    </row>
    <row r="30" spans="1:10" x14ac:dyDescent="0.3">
      <c r="C30" s="2" t="s">
        <v>41</v>
      </c>
      <c r="D30" s="2">
        <f>COUNTIF(D$2:D$26, "CSM")</f>
        <v>9</v>
      </c>
      <c r="E30" s="2" t="s">
        <v>41</v>
      </c>
      <c r="F30" s="2">
        <f>COUNTIF(F$2:F$26, "CSM")</f>
        <v>6</v>
      </c>
      <c r="H30" s="2" t="s">
        <v>41</v>
      </c>
      <c r="I30" s="2">
        <f>COUNTIF(I$2:I$26, "CSM")</f>
        <v>4</v>
      </c>
    </row>
    <row r="31" spans="1:10" x14ac:dyDescent="0.3">
      <c r="C31" s="2" t="s">
        <v>43</v>
      </c>
      <c r="D31" s="2">
        <f>COUNTIF(D$2:D$26, "CSC")</f>
        <v>2</v>
      </c>
      <c r="E31" s="2" t="s">
        <v>43</v>
      </c>
      <c r="F31" s="2">
        <f>COUNTIF(F$2:F$26, "CSC")</f>
        <v>4</v>
      </c>
      <c r="H31" s="2" t="s">
        <v>43</v>
      </c>
      <c r="I31" s="2">
        <f>COUNTIF(I$2:I$26, "CSC")</f>
        <v>2</v>
      </c>
    </row>
    <row r="32" spans="1:10" x14ac:dyDescent="0.3">
      <c r="C32" s="2" t="s">
        <v>42</v>
      </c>
      <c r="D32" s="2">
        <f>COUNTIF(D$2:D$26, "CSA")</f>
        <v>1</v>
      </c>
      <c r="E32" s="2" t="s">
        <v>42</v>
      </c>
      <c r="F32" s="2">
        <f>COUNTIF(F$2:F$26, "CSA")</f>
        <v>0</v>
      </c>
      <c r="H32" s="2" t="s">
        <v>42</v>
      </c>
      <c r="I32" s="2">
        <f>COUNTIF(I$2:I$26, "CSA")</f>
        <v>0</v>
      </c>
    </row>
    <row r="33" spans="3:9" x14ac:dyDescent="0.3">
      <c r="C33" s="2" t="s">
        <v>74</v>
      </c>
      <c r="D33" s="2">
        <f>COUNTIF(D$2:D$26, "R")</f>
        <v>11</v>
      </c>
      <c r="E33" s="2" t="s">
        <v>74</v>
      </c>
      <c r="F33" s="2">
        <f>COUNTIF(F$2:F$26, "R")</f>
        <v>13</v>
      </c>
      <c r="H33" s="2" t="s">
        <v>74</v>
      </c>
      <c r="I33" s="2">
        <f>COUNTIF(I$2:I$26, "R")</f>
        <v>16</v>
      </c>
    </row>
    <row r="34" spans="3:9" x14ac:dyDescent="0.3">
      <c r="C34" s="2" t="s">
        <v>75</v>
      </c>
      <c r="D34" s="2">
        <f>COUNTIF(D$2:D$26, "O")</f>
        <v>1</v>
      </c>
      <c r="E34" s="2" t="s">
        <v>75</v>
      </c>
      <c r="F34" s="2">
        <f>COUNTIF(F$2:F$26, "O")</f>
        <v>1</v>
      </c>
      <c r="H34" s="2" t="s">
        <v>75</v>
      </c>
      <c r="I34" s="2">
        <f>COUNTIF(I$2:I$26, "O")</f>
        <v>2</v>
      </c>
    </row>
    <row r="36" spans="3:9" x14ac:dyDescent="0.3">
      <c r="C36" s="2" t="s">
        <v>125</v>
      </c>
      <c r="D36" s="2">
        <f>SUM(D30:D32)</f>
        <v>12</v>
      </c>
      <c r="E36" s="2" t="s">
        <v>125</v>
      </c>
      <c r="F36" s="2">
        <f>SUM(F30:F32)</f>
        <v>10</v>
      </c>
      <c r="H36" s="2" t="s">
        <v>125</v>
      </c>
      <c r="I36" s="2">
        <f>SUM(I30:I32)</f>
        <v>6</v>
      </c>
    </row>
    <row r="37" spans="3:9" x14ac:dyDescent="0.3">
      <c r="C37" s="2" t="s">
        <v>126</v>
      </c>
      <c r="D37" s="2">
        <f>SUM(D30:D34)</f>
        <v>24</v>
      </c>
      <c r="E37" s="2" t="s">
        <v>126</v>
      </c>
      <c r="F37" s="2">
        <f>SUM(F30:F34)</f>
        <v>24</v>
      </c>
      <c r="H37" s="2" t="s">
        <v>126</v>
      </c>
      <c r="I37" s="2">
        <f>SUM(I30:I34)</f>
        <v>24</v>
      </c>
    </row>
  </sheetData>
  <autoFilter ref="A1:J26" xr:uid="{CAE2EC83-5F1C-49EA-A539-79252E6DC49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B9A5C-2909-4E50-A8FE-EDFD153B6302}">
  <dimension ref="A2:D16"/>
  <sheetViews>
    <sheetView tabSelected="1" workbookViewId="0">
      <selection activeCell="G13" sqref="G13"/>
    </sheetView>
  </sheetViews>
  <sheetFormatPr defaultColWidth="9.109375" defaultRowHeight="14.4" x14ac:dyDescent="0.3"/>
  <sheetData>
    <row r="2" spans="1:4" x14ac:dyDescent="0.3">
      <c r="B2" t="s">
        <v>22</v>
      </c>
      <c r="C2" t="s">
        <v>24</v>
      </c>
      <c r="D2" t="s">
        <v>25</v>
      </c>
    </row>
    <row r="3" spans="1:4" x14ac:dyDescent="0.3">
      <c r="A3" t="s">
        <v>41</v>
      </c>
      <c r="B3">
        <f>COUNTIF(Sheet1!$D$2:$D$37, "CSM")</f>
        <v>9</v>
      </c>
      <c r="C3">
        <f>COUNTIF(Sheet1!$F$2:$F$37, "CSM")</f>
        <v>6</v>
      </c>
      <c r="D3">
        <f>COUNTIF(Sheet1!$I$2:$I$37, "CSM")</f>
        <v>4</v>
      </c>
    </row>
    <row r="4" spans="1:4" x14ac:dyDescent="0.3">
      <c r="A4" t="s">
        <v>42</v>
      </c>
      <c r="B4">
        <f>COUNTIF(Sheet1!$D$2:$D$37, "CSA")</f>
        <v>1</v>
      </c>
      <c r="C4">
        <f>COUNTIF(Sheet1!$F$2:$F$37, "CSa")</f>
        <v>0</v>
      </c>
      <c r="D4">
        <f>COUNTIF(Sheet1!$I$2:$I$37, "CSA")</f>
        <v>0</v>
      </c>
    </row>
    <row r="5" spans="1:4" x14ac:dyDescent="0.3">
      <c r="A5" t="s">
        <v>43</v>
      </c>
      <c r="B5">
        <f>COUNTIF(Sheet1!$D$2:$D$37, "CSC")</f>
        <v>2</v>
      </c>
      <c r="C5">
        <f>COUNTIF(Sheet1!$F$2:$F$37, "CSc")</f>
        <v>4</v>
      </c>
      <c r="D5">
        <f>COUNTIF(Sheet1!$I$2:$I$37, "CSC")</f>
        <v>2</v>
      </c>
    </row>
    <row r="6" spans="1:4" x14ac:dyDescent="0.3">
      <c r="A6" t="s">
        <v>44</v>
      </c>
      <c r="B6">
        <f>SUM(B3:B5)</f>
        <v>12</v>
      </c>
      <c r="C6">
        <f>SUM(C3:C5)</f>
        <v>10</v>
      </c>
      <c r="D6">
        <f>SUM(D3:D5)</f>
        <v>6</v>
      </c>
    </row>
    <row r="7" spans="1:4" x14ac:dyDescent="0.3">
      <c r="A7" t="s">
        <v>45</v>
      </c>
      <c r="B7">
        <f>COUNTIF(Sheet1!$D$2:$D$37, "R")</f>
        <v>11</v>
      </c>
      <c r="C7">
        <f>COUNTIF(Sheet1!$F$2:$F$37, "R")</f>
        <v>13</v>
      </c>
      <c r="D7">
        <f>COUNTIF(Sheet1!$I$2:$I$37, "R")</f>
        <v>16</v>
      </c>
    </row>
    <row r="9" spans="1:4" x14ac:dyDescent="0.3">
      <c r="A9" s="7" t="s">
        <v>46</v>
      </c>
      <c r="B9">
        <v>24</v>
      </c>
      <c r="C9">
        <v>24</v>
      </c>
      <c r="D9">
        <v>24</v>
      </c>
    </row>
    <row r="11" spans="1:4" x14ac:dyDescent="0.3">
      <c r="A11" t="s">
        <v>47</v>
      </c>
      <c r="B11">
        <v>9</v>
      </c>
      <c r="C11">
        <v>7</v>
      </c>
      <c r="D11">
        <v>16</v>
      </c>
    </row>
    <row r="12" spans="1:4" x14ac:dyDescent="0.3">
      <c r="A12" t="s">
        <v>48</v>
      </c>
      <c r="B12">
        <v>9</v>
      </c>
      <c r="C12">
        <v>11</v>
      </c>
      <c r="D12">
        <v>36</v>
      </c>
    </row>
    <row r="13" spans="1:4" x14ac:dyDescent="0.3">
      <c r="A13" t="s">
        <v>49</v>
      </c>
      <c r="B13">
        <v>2</v>
      </c>
      <c r="C13">
        <v>0</v>
      </c>
      <c r="D13">
        <v>0</v>
      </c>
    </row>
    <row r="14" spans="1:4" x14ac:dyDescent="0.3">
      <c r="A14" t="s">
        <v>50</v>
      </c>
      <c r="B14">
        <v>173</v>
      </c>
      <c r="C14">
        <v>173</v>
      </c>
      <c r="D14">
        <v>173</v>
      </c>
    </row>
    <row r="16" spans="1:4" x14ac:dyDescent="0.3">
      <c r="A16" s="7" t="s">
        <v>51</v>
      </c>
      <c r="B16">
        <f>((B6/B9)-((B12-B13)/B14))*100</f>
        <v>45.953757225433527</v>
      </c>
      <c r="C16">
        <f>((C6/C9)-((C12-C13)/C14))*100</f>
        <v>35.308285163776496</v>
      </c>
      <c r="D16">
        <f>((D6/D9)-((D12-D13)/D14))*100</f>
        <v>4.1907514450867041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Kyo Gerrits</dc:creator>
  <cp:lastModifiedBy>Kyo Gerrits</cp:lastModifiedBy>
  <dcterms:created xsi:type="dcterms:W3CDTF">2025-09-04T06:37:06Z</dcterms:created>
  <dcterms:modified xsi:type="dcterms:W3CDTF">2026-01-28T11:07:41Z</dcterms:modified>
</cp:coreProperties>
</file>