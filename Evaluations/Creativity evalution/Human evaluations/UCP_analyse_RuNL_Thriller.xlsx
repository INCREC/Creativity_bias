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UCP analyse/To Dutch/"/>
    </mc:Choice>
  </mc:AlternateContent>
  <xr:revisionPtr revIDLastSave="169" documentId="8_{02434F8B-C771-4DBA-869B-72F992774756}" xr6:coauthVersionLast="47" xr6:coauthVersionMax="47" xr10:uidLastSave="{B15D1406-25B8-4CDC-9355-EC00F2095509}"/>
  <bookViews>
    <workbookView xWindow="-108" yWindow="-108" windowWidth="23256" windowHeight="12456" xr2:uid="{B912B672-B42C-4EF1-8DFB-5B8735750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E27" i="1"/>
  <c r="G31" i="1"/>
  <c r="G30" i="1"/>
  <c r="G29" i="1"/>
  <c r="G28" i="1"/>
  <c r="G27" i="1"/>
  <c r="E33" i="1"/>
  <c r="E31" i="1"/>
  <c r="E30" i="1"/>
  <c r="E29" i="1"/>
  <c r="E28" i="1"/>
  <c r="I34" i="1" l="1"/>
  <c r="G34" i="1"/>
  <c r="E34" i="1"/>
  <c r="G33" i="1"/>
  <c r="I33" i="1"/>
</calcChain>
</file>

<file path=xl/sharedStrings.xml><?xml version="1.0" encoding="utf-8"?>
<sst xmlns="http://schemas.openxmlformats.org/spreadsheetml/2006/main" count="171" uniqueCount="113">
  <si>
    <t>Russian</t>
  </si>
  <si>
    <t>Translation sentence</t>
  </si>
  <si>
    <t>Егор шел по переходу, все убыстряя и убыстряя шаг</t>
  </si>
  <si>
    <t xml:space="preserve">Jegor liep door de voetgangerstunnel, steeds sneller en sneller. </t>
  </si>
  <si>
    <t xml:space="preserve">. Откуда-то лилась музыка, тихая, едва слышная, но удивительно приятная. </t>
  </si>
  <si>
    <t xml:space="preserve">Ergens vandaan klonk muziek, zacht, nauwelijks hoorbaar, maar verbazingwekkend mooi. </t>
  </si>
  <si>
    <t xml:space="preserve">Тонкое пение флейты, шелест гитарных струн, перезвон ксилофона. </t>
  </si>
  <si>
    <t xml:space="preserve">De ijle tonen van een fluit, getokkel van gitaarsnaren, getinkel van een xylofoon. </t>
  </si>
  <si>
    <t>Музыка звала, музыка торопила.</t>
  </si>
  <si>
    <t xml:space="preserve">De muziek lonkte, maande tot haast. </t>
  </si>
  <si>
    <t>. Из головы будто выдуло все мысли, он уже почти бежал.</t>
  </si>
  <si>
    <t>Het was alsof alle gedachten uit zijn hoofd waren weggeblazen, hij rende al bijna.</t>
  </si>
  <si>
    <t>Музыка звала.</t>
  </si>
  <si>
    <t>De muziek lonkte.</t>
  </si>
  <si>
    <t xml:space="preserve">В нее уже вплетались слова... пока невнятные, слишком тихие, но такие манящие. </t>
  </si>
  <si>
    <t>Er begonnen zich al woorden in te verweven… nog onverstaanbaar, te zacht, maar zo verleidelijk.</t>
  </si>
  <si>
    <t xml:space="preserve">Мальчик выскочил из перехода, на миг остановился, глотая холодный воздух. </t>
  </si>
  <si>
    <t>De jongen schoot de tunnel uit, bleef een ogenblik stilstaan en zoog gretig de koude lucht op.</t>
  </si>
  <si>
    <t xml:space="preserve">К остановке как раз подкатывал троллейбус. </t>
  </si>
  <si>
    <t>Juist op dat moment kwam er een trolleybus bij de halte aan.</t>
  </si>
  <si>
    <t>Можно было проехать одну остановку, почти до самого дома...</t>
  </si>
  <si>
    <t>Hij kon één halte meerijden, bijna tot vlak bij zijn flatgebouw…</t>
  </si>
  <si>
    <t>Медленно, словно внезапно онемели ноги, мальчик пошел к троллейбусу</t>
  </si>
  <si>
    <t>Langzaam, alsof zijn benen sliepen, begon de jongen naar de bus te lopen.</t>
  </si>
  <si>
    <t xml:space="preserve">Несколько секунд тот ждал с открытыми дверями, потом створки сошлись и машина отъехала от остановки. </t>
  </si>
  <si>
    <t xml:space="preserve">Die bleef een paar seconden met geopende deuren wachten, toen gingen de deuren dicht en reed de bus weg van de halte. </t>
  </si>
  <si>
    <t>. Егор тупо смотрел вслед,</t>
  </si>
  <si>
    <t>. Jegor keek het voertuig wezenloos na,</t>
  </si>
  <si>
    <t xml:space="preserve"> музыка становилась все громче, заполняла весь мир, от полукружия высотной гостиницы до видневшегося невдалеке «коробка на ножках» — его дома.</t>
  </si>
  <si>
    <t>, de muziek werd steeds luider, vulde de hele wereld, van de halve cirkel van het torenhoge hotel tot aan de in de verte zichtbare ‘doos op poten’– zijn flatgebouw</t>
  </si>
  <si>
    <t>. Музыка предлагала идти пешком.</t>
  </si>
  <si>
    <t xml:space="preserve">De muziek nodigde uit om te lopen. </t>
  </si>
  <si>
    <t xml:space="preserve">По ярко освещённому проспекту, где до сих пор шло немало людей. </t>
  </si>
  <si>
    <t xml:space="preserve">Langs de felverlichte boulevard, waar nog steeds aardig wat mensen op de been waren. </t>
  </si>
  <si>
    <t>Всего-то пять минут до подъезда.</t>
  </si>
  <si>
    <t xml:space="preserve">. Het was maar vijf minuten lopen naar de ingang. </t>
  </si>
  <si>
    <t>А до музыки — еще меньше...</t>
  </si>
  <si>
    <t>En naar de muziek nog minder…</t>
  </si>
  <si>
    <t>убыстряя и убыстряя</t>
  </si>
  <si>
    <t>лилась музыка</t>
  </si>
  <si>
    <t>тихая, едва слышная</t>
  </si>
  <si>
    <t>Тонкое пение флейты</t>
  </si>
  <si>
    <t>шелест..струн</t>
  </si>
  <si>
    <t>перезвон ксилофона</t>
  </si>
  <si>
    <t>музыка..музыка</t>
  </si>
  <si>
    <t>выдуло все мысли</t>
  </si>
  <si>
    <t>уже почти</t>
  </si>
  <si>
    <t>вплетались слова</t>
  </si>
  <si>
    <t>невнятные, слишком тихие</t>
  </si>
  <si>
    <t>глотая...воздух</t>
  </si>
  <si>
    <t>словно внезапно онемели ноги</t>
  </si>
  <si>
    <t>створки сошлись</t>
  </si>
  <si>
    <t>тупо</t>
  </si>
  <si>
    <t>полукружия высотной гостиницы</t>
  </si>
  <si>
    <t>«коробка на ножках»</t>
  </si>
  <si>
    <t>UCP</t>
  </si>
  <si>
    <t>HT</t>
  </si>
  <si>
    <t>Annotations of UCPs</t>
  </si>
  <si>
    <t>PE</t>
  </si>
  <si>
    <t>MT</t>
  </si>
  <si>
    <t>sneller en sneller</t>
  </si>
  <si>
    <t>CSM</t>
  </si>
  <si>
    <t>zijn pas steeds sneller</t>
  </si>
  <si>
    <t>R</t>
  </si>
  <si>
    <t>met steeds snellere pas</t>
  </si>
  <si>
    <t>klonk muziek</t>
  </si>
  <si>
    <t>er klonk ergens muziek</t>
  </si>
  <si>
    <t>ergens klonk muzeik</t>
  </si>
  <si>
    <t>zacht, nauwelijke hoorbaar</t>
  </si>
  <si>
    <t>De ijle tonen van een fluit</t>
  </si>
  <si>
    <t>getokkel van gitaarsnaren</t>
  </si>
  <si>
    <t>getinkel van een xylofoon</t>
  </si>
  <si>
    <t>een fluit zong ijl</t>
  </si>
  <si>
    <t>gitaarsnaren fluisterden</t>
  </si>
  <si>
    <t>een xylofoon rinkelde dromerig</t>
  </si>
  <si>
    <t>De ijle klanken van een fluit</t>
  </si>
  <si>
    <t>het fluister van gitaarsnaren</t>
  </si>
  <si>
    <t>het klingelen van een xylofoon</t>
  </si>
  <si>
    <t>muziek, (O)</t>
  </si>
  <si>
    <t>muziek. Muzeik</t>
  </si>
  <si>
    <t>muziek. Muziek</t>
  </si>
  <si>
    <t>het was alsof alle gedachten uit zijn hoofd waren weggeblazen</t>
  </si>
  <si>
    <t>zijn hoofd leek leeggewaaid</t>
  </si>
  <si>
    <t>CSA</t>
  </si>
  <si>
    <t>Het leek of alle gedachten uit zijn hoofd waren weggewaaid</t>
  </si>
  <si>
    <t>al bijna</t>
  </si>
  <si>
    <t>bijna</t>
  </si>
  <si>
    <t>woorden in te verweven</t>
  </si>
  <si>
    <t>mengden zich woorden in</t>
  </si>
  <si>
    <t>mengden zich al woorden in</t>
  </si>
  <si>
    <t>nog overstaanbaar, te zacht</t>
  </si>
  <si>
    <t>nog onsamenhangend, nog te stil om te verstaan</t>
  </si>
  <si>
    <t>nog onsamenhangend, nog te zacht</t>
  </si>
  <si>
    <t>zoog gretig de koude lucht op</t>
  </si>
  <si>
    <t>CSC</t>
  </si>
  <si>
    <t>happend naar de koude lucht</t>
  </si>
  <si>
    <t>hapte de koude lucht</t>
  </si>
  <si>
    <t>alsof zijn benen sliepen</t>
  </si>
  <si>
    <t>alsof zijn benen ineens verlamd waren</t>
  </si>
  <si>
    <t>gingen de deuren dicht</t>
  </si>
  <si>
    <t>sloten de kleppen zich</t>
  </si>
  <si>
    <t>klapten ze toe</t>
  </si>
  <si>
    <t>wezenloos</t>
  </si>
  <si>
    <t>doelloos</t>
  </si>
  <si>
    <t>de halve cirkel van het torenhoge hotel</t>
  </si>
  <si>
    <t>van de gebogen gevel van het hoge hotel</t>
  </si>
  <si>
    <t>van de halfronde gevel van het hoge hotel</t>
  </si>
  <si>
    <t>doos op poten</t>
  </si>
  <si>
    <t>doosje op pootjes</t>
  </si>
  <si>
    <t>doosje op poten</t>
  </si>
  <si>
    <t>O</t>
  </si>
  <si>
    <t>total CS</t>
  </si>
  <si>
    <t>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</si>
</sst>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5D4B-C22D-4994-856D-91B068A780A3}">
  <dimension ref="A1:I34"/>
  <sheetViews>
    <sheetView tabSelected="1" topLeftCell="A22" workbookViewId="0">
      <selection activeCell="C19" sqref="C19"/>
    </sheetView>
  </sheetViews>
  <sheetFormatPr defaultRowHeight="14.4" x14ac:dyDescent="0.3"/>
  <cols>
    <col min="1" max="1" width="28.109375" customWidth="1"/>
    <col min="2" max="2" width="24.109375" customWidth="1"/>
    <col min="3" max="3" width="28.33203125" customWidth="1"/>
    <col min="4" max="4" width="25.5546875" customWidth="1"/>
    <col min="5" max="5" width="15.21875" customWidth="1"/>
    <col min="6" max="6" width="25.6640625" customWidth="1"/>
    <col min="7" max="7" width="15.33203125" customWidth="1"/>
    <col min="8" max="8" width="30.33203125" customWidth="1"/>
    <col min="9" max="9" width="14.6640625" customWidth="1"/>
  </cols>
  <sheetData>
    <row r="1" spans="1:9" ht="28.8" x14ac:dyDescent="0.3">
      <c r="A1" s="1" t="s">
        <v>0</v>
      </c>
      <c r="B1" s="1" t="s">
        <v>1</v>
      </c>
      <c r="C1" s="5" t="s">
        <v>55</v>
      </c>
      <c r="D1" t="s">
        <v>56</v>
      </c>
      <c r="E1" s="2" t="s">
        <v>57</v>
      </c>
      <c r="F1" s="2" t="s">
        <v>59</v>
      </c>
      <c r="G1" s="2" t="s">
        <v>57</v>
      </c>
      <c r="H1" s="2" t="s">
        <v>58</v>
      </c>
      <c r="I1" s="2" t="s">
        <v>57</v>
      </c>
    </row>
    <row r="2" spans="1:9" ht="43.2" x14ac:dyDescent="0.3">
      <c r="A2" s="2" t="s">
        <v>2</v>
      </c>
      <c r="B2" s="3" t="s">
        <v>3</v>
      </c>
      <c r="C2" t="s">
        <v>38</v>
      </c>
      <c r="D2" t="s">
        <v>60</v>
      </c>
      <c r="E2" t="s">
        <v>61</v>
      </c>
      <c r="F2" t="s">
        <v>64</v>
      </c>
      <c r="G2" t="s">
        <v>63</v>
      </c>
      <c r="H2" t="s">
        <v>62</v>
      </c>
      <c r="I2" t="s">
        <v>63</v>
      </c>
    </row>
    <row r="3" spans="1:9" ht="57.6" x14ac:dyDescent="0.3">
      <c r="A3" s="2" t="s">
        <v>4</v>
      </c>
      <c r="B3" s="3" t="s">
        <v>5</v>
      </c>
      <c r="C3" t="s">
        <v>39</v>
      </c>
      <c r="D3" t="s">
        <v>65</v>
      </c>
      <c r="E3" t="s">
        <v>63</v>
      </c>
      <c r="F3" t="s">
        <v>66</v>
      </c>
      <c r="G3" t="s">
        <v>63</v>
      </c>
      <c r="H3" t="s">
        <v>67</v>
      </c>
      <c r="I3" t="s">
        <v>63</v>
      </c>
    </row>
    <row r="4" spans="1:9" x14ac:dyDescent="0.3">
      <c r="A4" s="2"/>
      <c r="B4" s="3"/>
      <c r="C4" t="s">
        <v>40</v>
      </c>
      <c r="D4" t="s">
        <v>68</v>
      </c>
      <c r="E4" t="s">
        <v>63</v>
      </c>
      <c r="F4" t="s">
        <v>68</v>
      </c>
      <c r="G4" t="s">
        <v>63</v>
      </c>
      <c r="H4" t="s">
        <v>68</v>
      </c>
      <c r="I4" t="s">
        <v>63</v>
      </c>
    </row>
    <row r="5" spans="1:9" ht="43.2" x14ac:dyDescent="0.3">
      <c r="A5" s="2" t="s">
        <v>6</v>
      </c>
      <c r="B5" s="3" t="s">
        <v>7</v>
      </c>
      <c r="C5" t="s">
        <v>41</v>
      </c>
      <c r="D5" t="s">
        <v>69</v>
      </c>
      <c r="E5" t="s">
        <v>61</v>
      </c>
      <c r="F5" t="s">
        <v>70</v>
      </c>
      <c r="G5" t="s">
        <v>61</v>
      </c>
      <c r="H5" t="s">
        <v>71</v>
      </c>
      <c r="I5" t="s">
        <v>61</v>
      </c>
    </row>
    <row r="6" spans="1:9" x14ac:dyDescent="0.3">
      <c r="A6" s="2"/>
      <c r="B6" s="3"/>
      <c r="C6" t="s">
        <v>42</v>
      </c>
      <c r="D6" t="s">
        <v>72</v>
      </c>
      <c r="E6" t="s">
        <v>63</v>
      </c>
      <c r="F6" t="s">
        <v>73</v>
      </c>
      <c r="G6" t="s">
        <v>61</v>
      </c>
      <c r="H6" t="s">
        <v>74</v>
      </c>
      <c r="I6" t="s">
        <v>61</v>
      </c>
    </row>
    <row r="7" spans="1:9" x14ac:dyDescent="0.3">
      <c r="A7" s="2"/>
      <c r="B7" s="3"/>
      <c r="C7" t="s">
        <v>43</v>
      </c>
      <c r="D7" t="s">
        <v>75</v>
      </c>
      <c r="E7" t="s">
        <v>61</v>
      </c>
      <c r="F7" t="s">
        <v>76</v>
      </c>
      <c r="G7" t="s">
        <v>61</v>
      </c>
      <c r="H7" t="s">
        <v>77</v>
      </c>
      <c r="I7" t="s">
        <v>63</v>
      </c>
    </row>
    <row r="8" spans="1:9" ht="28.8" x14ac:dyDescent="0.3">
      <c r="A8" s="2" t="s">
        <v>8</v>
      </c>
      <c r="B8" s="3" t="s">
        <v>9</v>
      </c>
      <c r="C8" t="s">
        <v>44</v>
      </c>
      <c r="D8" t="s">
        <v>78</v>
      </c>
      <c r="E8" t="s">
        <v>61</v>
      </c>
      <c r="F8" t="s">
        <v>79</v>
      </c>
      <c r="G8" t="s">
        <v>63</v>
      </c>
      <c r="H8" t="s">
        <v>80</v>
      </c>
      <c r="I8" t="s">
        <v>63</v>
      </c>
    </row>
    <row r="9" spans="1:9" ht="57.6" x14ac:dyDescent="0.3">
      <c r="A9" s="2" t="s">
        <v>10</v>
      </c>
      <c r="B9" s="4" t="s">
        <v>11</v>
      </c>
      <c r="C9" t="s">
        <v>45</v>
      </c>
      <c r="D9" t="s">
        <v>81</v>
      </c>
      <c r="E9" t="s">
        <v>63</v>
      </c>
      <c r="F9" t="s">
        <v>82</v>
      </c>
      <c r="G9" t="s">
        <v>83</v>
      </c>
      <c r="H9" t="s">
        <v>84</v>
      </c>
      <c r="I9" t="s">
        <v>63</v>
      </c>
    </row>
    <row r="10" spans="1:9" x14ac:dyDescent="0.3">
      <c r="A10" s="2"/>
      <c r="B10" s="4"/>
      <c r="C10" t="s">
        <v>46</v>
      </c>
      <c r="D10" t="s">
        <v>85</v>
      </c>
      <c r="E10" t="s">
        <v>63</v>
      </c>
      <c r="F10" t="s">
        <v>86</v>
      </c>
      <c r="G10" t="s">
        <v>63</v>
      </c>
      <c r="H10" t="s">
        <v>85</v>
      </c>
      <c r="I10" t="s">
        <v>63</v>
      </c>
    </row>
    <row r="11" spans="1:9" x14ac:dyDescent="0.3">
      <c r="A11" s="2" t="s">
        <v>12</v>
      </c>
      <c r="B11" s="3" t="s">
        <v>13</v>
      </c>
    </row>
    <row r="12" spans="1:9" ht="57.6" x14ac:dyDescent="0.3">
      <c r="A12" s="2" t="s">
        <v>14</v>
      </c>
      <c r="B12" s="3" t="s">
        <v>15</v>
      </c>
      <c r="C12" t="s">
        <v>47</v>
      </c>
      <c r="D12" t="s">
        <v>87</v>
      </c>
      <c r="E12" t="s">
        <v>61</v>
      </c>
      <c r="F12" t="s">
        <v>88</v>
      </c>
      <c r="G12" t="s">
        <v>63</v>
      </c>
      <c r="H12" t="s">
        <v>89</v>
      </c>
      <c r="I12" t="s">
        <v>63</v>
      </c>
    </row>
    <row r="13" spans="1:9" x14ac:dyDescent="0.3">
      <c r="A13" s="2"/>
      <c r="B13" s="3"/>
      <c r="C13" t="s">
        <v>48</v>
      </c>
      <c r="D13" t="s">
        <v>90</v>
      </c>
      <c r="E13" t="s">
        <v>63</v>
      </c>
      <c r="F13" t="s">
        <v>91</v>
      </c>
      <c r="G13" t="s">
        <v>63</v>
      </c>
      <c r="H13" t="s">
        <v>92</v>
      </c>
      <c r="I13" t="s">
        <v>63</v>
      </c>
    </row>
    <row r="14" spans="1:9" ht="57.6" x14ac:dyDescent="0.3">
      <c r="A14" s="2" t="s">
        <v>16</v>
      </c>
      <c r="B14" s="3" t="s">
        <v>17</v>
      </c>
      <c r="C14" t="s">
        <v>49</v>
      </c>
      <c r="D14" t="s">
        <v>93</v>
      </c>
      <c r="E14" t="s">
        <v>94</v>
      </c>
      <c r="F14" t="s">
        <v>95</v>
      </c>
      <c r="G14" t="s">
        <v>63</v>
      </c>
      <c r="H14" t="s">
        <v>96</v>
      </c>
      <c r="I14" t="s">
        <v>63</v>
      </c>
    </row>
    <row r="15" spans="1:9" ht="43.2" x14ac:dyDescent="0.3">
      <c r="A15" s="2" t="s">
        <v>18</v>
      </c>
      <c r="B15" s="3" t="s">
        <v>19</v>
      </c>
    </row>
    <row r="16" spans="1:9" ht="43.2" x14ac:dyDescent="0.3">
      <c r="A16" s="2" t="s">
        <v>20</v>
      </c>
      <c r="B16" s="4" t="s">
        <v>21</v>
      </c>
    </row>
    <row r="17" spans="1:9" ht="43.2" x14ac:dyDescent="0.3">
      <c r="A17" s="2" t="s">
        <v>22</v>
      </c>
      <c r="B17" s="3" t="s">
        <v>23</v>
      </c>
      <c r="C17" t="s">
        <v>50</v>
      </c>
      <c r="D17" t="s">
        <v>97</v>
      </c>
      <c r="E17" t="s">
        <v>94</v>
      </c>
      <c r="F17" t="s">
        <v>98</v>
      </c>
      <c r="G17" t="s">
        <v>63</v>
      </c>
      <c r="H17" t="s">
        <v>98</v>
      </c>
      <c r="I17" t="s">
        <v>63</v>
      </c>
    </row>
    <row r="18" spans="1:9" ht="86.4" x14ac:dyDescent="0.3">
      <c r="A18" s="2" t="s">
        <v>24</v>
      </c>
      <c r="B18" s="3" t="s">
        <v>25</v>
      </c>
      <c r="C18" t="s">
        <v>51</v>
      </c>
      <c r="D18" t="s">
        <v>99</v>
      </c>
      <c r="E18" t="s">
        <v>83</v>
      </c>
      <c r="F18" t="s">
        <v>100</v>
      </c>
      <c r="G18" t="s">
        <v>63</v>
      </c>
      <c r="H18" t="s">
        <v>101</v>
      </c>
      <c r="I18" t="s">
        <v>94</v>
      </c>
    </row>
    <row r="19" spans="1:9" ht="28.8" x14ac:dyDescent="0.3">
      <c r="A19" s="2" t="s">
        <v>26</v>
      </c>
      <c r="B19" s="3" t="s">
        <v>27</v>
      </c>
      <c r="C19" t="s">
        <v>52</v>
      </c>
      <c r="D19" t="s">
        <v>102</v>
      </c>
      <c r="E19" t="s">
        <v>61</v>
      </c>
      <c r="F19" t="s">
        <v>103</v>
      </c>
      <c r="G19" t="s">
        <v>63</v>
      </c>
      <c r="H19" t="s">
        <v>102</v>
      </c>
      <c r="I19" t="s">
        <v>61</v>
      </c>
    </row>
    <row r="20" spans="1:9" ht="86.4" x14ac:dyDescent="0.3">
      <c r="A20" s="2" t="s">
        <v>28</v>
      </c>
      <c r="B20" s="3" t="s">
        <v>29</v>
      </c>
      <c r="C20" t="s">
        <v>53</v>
      </c>
      <c r="D20" t="s">
        <v>104</v>
      </c>
      <c r="E20" t="s">
        <v>63</v>
      </c>
      <c r="F20" t="s">
        <v>105</v>
      </c>
      <c r="G20" t="s">
        <v>63</v>
      </c>
      <c r="H20" t="s">
        <v>106</v>
      </c>
      <c r="I20" t="s">
        <v>63</v>
      </c>
    </row>
    <row r="21" spans="1:9" x14ac:dyDescent="0.3">
      <c r="A21" s="2"/>
      <c r="B21" s="3"/>
      <c r="C21" t="s">
        <v>54</v>
      </c>
      <c r="D21" t="s">
        <v>107</v>
      </c>
      <c r="E21" t="s">
        <v>83</v>
      </c>
      <c r="F21" t="s">
        <v>108</v>
      </c>
      <c r="G21" t="s">
        <v>63</v>
      </c>
      <c r="H21" t="s">
        <v>109</v>
      </c>
      <c r="I21" t="s">
        <v>83</v>
      </c>
    </row>
    <row r="22" spans="1:9" ht="28.8" x14ac:dyDescent="0.3">
      <c r="A22" s="2" t="s">
        <v>30</v>
      </c>
      <c r="B22" s="3" t="s">
        <v>31</v>
      </c>
    </row>
    <row r="23" spans="1:9" ht="57.6" x14ac:dyDescent="0.3">
      <c r="A23" s="2" t="s">
        <v>32</v>
      </c>
      <c r="B23" s="3" t="s">
        <v>33</v>
      </c>
    </row>
    <row r="24" spans="1:9" ht="28.8" x14ac:dyDescent="0.3">
      <c r="A24" s="2" t="s">
        <v>34</v>
      </c>
      <c r="B24" s="4" t="s">
        <v>35</v>
      </c>
    </row>
    <row r="25" spans="1:9" ht="28.8" x14ac:dyDescent="0.3">
      <c r="A25" s="2" t="s">
        <v>36</v>
      </c>
      <c r="B25" s="3" t="s">
        <v>37</v>
      </c>
    </row>
    <row r="27" spans="1:9" x14ac:dyDescent="0.3">
      <c r="C27" t="s">
        <v>61</v>
      </c>
      <c r="E27">
        <f>COUNTIF(E$2:E$25, "CSM")</f>
        <v>6</v>
      </c>
      <c r="G27">
        <f>COUNTIF(G$2:G$25, "CSM")</f>
        <v>3</v>
      </c>
      <c r="I27">
        <f>COUNTIF(I$2:I$25, "CSM")</f>
        <v>3</v>
      </c>
    </row>
    <row r="28" spans="1:9" x14ac:dyDescent="0.3">
      <c r="C28" t="s">
        <v>94</v>
      </c>
      <c r="E28">
        <f>COUNTIF(E$2:E$25, "CSC")</f>
        <v>2</v>
      </c>
      <c r="G28">
        <f>COUNTIF(G$2:G$25, "CSC")</f>
        <v>0</v>
      </c>
      <c r="I28">
        <f>COUNTIF(I$2:I$25, "CSC")</f>
        <v>1</v>
      </c>
    </row>
    <row r="29" spans="1:9" x14ac:dyDescent="0.3">
      <c r="C29" t="s">
        <v>83</v>
      </c>
      <c r="E29">
        <f>COUNTIF(E$2:E$25, "CSA")</f>
        <v>2</v>
      </c>
      <c r="G29">
        <f>COUNTIF(G$2:G$25, "CSA")</f>
        <v>1</v>
      </c>
      <c r="I29">
        <f>COUNTIF(I$2:I$25, "CSA")</f>
        <v>1</v>
      </c>
    </row>
    <row r="30" spans="1:9" x14ac:dyDescent="0.3">
      <c r="C30" t="s">
        <v>63</v>
      </c>
      <c r="E30">
        <f>COUNTIF(E$2:E$25, "R")</f>
        <v>7</v>
      </c>
      <c r="G30">
        <f>COUNTIF(G$2:G$25, "R")</f>
        <v>13</v>
      </c>
      <c r="I30">
        <f>COUNTIF(I$2:I$25, "R")</f>
        <v>12</v>
      </c>
    </row>
    <row r="31" spans="1:9" x14ac:dyDescent="0.3">
      <c r="C31" t="s">
        <v>110</v>
      </c>
      <c r="E31">
        <f>COUNTIF(E$2:E$25, "O")</f>
        <v>0</v>
      </c>
      <c r="G31">
        <f>COUNTIF(G$2:G$25, "O")</f>
        <v>0</v>
      </c>
      <c r="I31">
        <f>COUNTIF(I$2:I$25, "O")</f>
        <v>0</v>
      </c>
    </row>
    <row r="33" spans="3:9" x14ac:dyDescent="0.3">
      <c r="C33" t="s">
        <v>111</v>
      </c>
      <c r="E33">
        <f>SUM(E27:E29)</f>
        <v>10</v>
      </c>
      <c r="G33">
        <f>SUM(G27:G29)</f>
        <v>4</v>
      </c>
      <c r="I33">
        <f>SUM(I27:I29)</f>
        <v>5</v>
      </c>
    </row>
    <row r="34" spans="3:9" x14ac:dyDescent="0.3">
      <c r="C34" t="s">
        <v>112</v>
      </c>
      <c r="E34">
        <f>SUM(E27:E31)</f>
        <v>17</v>
      </c>
      <c r="G34">
        <f>SUM(G27:G31)</f>
        <v>17</v>
      </c>
      <c r="I34">
        <f>SUM(I27:I31)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2025-11-26T12:33:28Z</dcterms:created>
  <dcterms:modified xsi:type="dcterms:W3CDTF">2026-03-16T11:12:00Z</dcterms:modified>
</cp:coreProperties>
</file>