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Catalan/"/>
    </mc:Choice>
  </mc:AlternateContent>
  <xr:revisionPtr revIDLastSave="2" documentId="13_ncr:1_{EF5DBE97-FA82-44A7-BB52-A40B251736A7}" xr6:coauthVersionLast="47" xr6:coauthVersionMax="47" xr10:uidLastSave="{B9802D9A-9D09-4CD1-B077-B62DE39370AE}"/>
  <bookViews>
    <workbookView xWindow="-108" yWindow="-108" windowWidth="23256" windowHeight="12456" xr2:uid="{911686EC-3600-4D36-9A9E-E4FDF96CEFF4}"/>
  </bookViews>
  <sheets>
    <sheet name="Sheet1" sheetId="1" r:id="rId1"/>
    <sheet name="Overview" sheetId="4" r:id="rId2"/>
  </sheets>
  <definedNames>
    <definedName name="_xlnm._FilterDatabase" localSheetId="0" hidden="1">Sheet1!$A$1:$I$30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F34" i="1"/>
  <c r="F38" i="1"/>
  <c r="F37" i="1"/>
  <c r="F36" i="1"/>
  <c r="F35" i="1"/>
  <c r="D38" i="1"/>
  <c r="D37" i="1"/>
  <c r="D36" i="1"/>
  <c r="D35" i="1"/>
  <c r="D34" i="1"/>
  <c r="H40" i="1" l="1"/>
  <c r="H41" i="1"/>
  <c r="F41" i="1"/>
  <c r="D41" i="1"/>
  <c r="D40" i="1"/>
  <c r="F40" i="1"/>
  <c r="D7" i="4" l="1"/>
  <c r="D5" i="4"/>
  <c r="D4" i="4"/>
  <c r="D3" i="4"/>
  <c r="C7" i="4"/>
  <c r="C5" i="4"/>
  <c r="C4" i="4"/>
  <c r="C3" i="4"/>
  <c r="B7" i="4"/>
  <c r="B5" i="4"/>
  <c r="B4" i="4"/>
  <c r="B3" i="4"/>
  <c r="B6" i="4" l="1"/>
  <c r="B9" i="4" s="1"/>
  <c r="D6" i="4"/>
  <c r="D9" i="4" s="1"/>
  <c r="C6" i="4"/>
  <c r="C9" i="4" s="1"/>
</calcChain>
</file>

<file path=xl/sharedStrings.xml><?xml version="1.0" encoding="utf-8"?>
<sst xmlns="http://schemas.openxmlformats.org/spreadsheetml/2006/main" count="223" uniqueCount="121">
  <si>
    <t>English</t>
  </si>
  <si>
    <t>Afternoon in Summer</t>
  </si>
  <si>
    <t>He became aware that Sally had emerged from her book and was about to say something.</t>
  </si>
  <si>
    <t>had emerged</t>
  </si>
  <si>
    <t xml:space="preserve">“Murder is an occupational risk for prostitutes.” </t>
  </si>
  <si>
    <t xml:space="preserve">“Hmm,” said he, clinging to the thread of his calculations.  </t>
  </si>
  <si>
    <t>clinging to the thread</t>
  </si>
  <si>
    <t xml:space="preserve">They grew so engrossing that when next she spoke it took him by surprise. </t>
  </si>
  <si>
    <t>grew … engrossing</t>
  </si>
  <si>
    <t>when next</t>
  </si>
  <si>
    <t>took him by surprise</t>
  </si>
  <si>
    <t xml:space="preserve">“And for wives, too—though not so much.” </t>
  </si>
  <si>
    <t>not so much</t>
  </si>
  <si>
    <t xml:space="preserve">Inwardly assenting, Willie asked, </t>
  </si>
  <si>
    <t xml:space="preserve">“What on earth are you reading now?” </t>
  </si>
  <si>
    <t>on earth</t>
  </si>
  <si>
    <t xml:space="preserve">“A book about all the murders committed in the last thirty years. </t>
  </si>
  <si>
    <t>I got it from the public library.”</t>
  </si>
  <si>
    <t>got</t>
  </si>
  <si>
    <t>“Is it interesting?”</t>
  </si>
  <si>
    <t xml:space="preserve">“Yes. In rather a stark way. </t>
  </si>
  <si>
    <t>rather</t>
  </si>
  <si>
    <t>stark</t>
  </si>
  <si>
    <t>Just facts and sentences.”</t>
  </si>
  <si>
    <t>“Sounds enthralling.”</t>
  </si>
  <si>
    <t>enthralling</t>
  </si>
  <si>
    <t xml:space="preserve">“But murder is not so much of an occupational risk for murderers.  </t>
  </si>
  <si>
    <t xml:space="preserve">I mean, they mostly aren’t hanged. </t>
  </si>
  <si>
    <t>Of course, that’s a good thing.”</t>
  </si>
  <si>
    <t xml:space="preserve">He looked at Sally’s sleek flaxen hair, now bent over her book again.  </t>
  </si>
  <si>
    <t>sleek flaxen hair</t>
  </si>
  <si>
    <t xml:space="preserve">Though he was still young, still a student, he was a year older than she and found her artless sophistications touching.  </t>
  </si>
  <si>
    <t>her artless sophistications</t>
  </si>
  <si>
    <t>touching</t>
  </si>
  <si>
    <t xml:space="preserve">It was as though the mental processes beneath that hood of silken hair were as sleek, as smoothly disposed, as childishly combed and clean. </t>
  </si>
  <si>
    <t>smoothly disposed</t>
  </si>
  <si>
    <t>Annotations of UCPs</t>
  </si>
  <si>
    <t>HT</t>
  </si>
  <si>
    <t>PE</t>
  </si>
  <si>
    <t>MT</t>
  </si>
  <si>
    <t>murder</t>
  </si>
  <si>
    <t>public library</t>
  </si>
  <si>
    <t xml:space="preserve">Of course, that’s a good thing.” </t>
  </si>
  <si>
    <t>that hood of silken hair</t>
  </si>
  <si>
    <t>sleek</t>
  </si>
  <si>
    <t>CSC</t>
  </si>
  <si>
    <t>CSM</t>
  </si>
  <si>
    <t>CSA</t>
  </si>
  <si>
    <t>as… as … as</t>
  </si>
  <si>
    <t>All CS</t>
  </si>
  <si>
    <t>Total</t>
  </si>
  <si>
    <t>Reproduction</t>
  </si>
  <si>
    <t xml:space="preserve">havia aixecat el cap </t>
  </si>
  <si>
    <t xml:space="preserve">l’assassinat </t>
  </si>
  <si>
    <t xml:space="preserve">concentrat a no perdre el fil </t>
  </si>
  <si>
    <t>Hi estava tan absort que</t>
  </si>
  <si>
    <t>quan la Sally va tornar a parlar</t>
  </si>
  <si>
    <t>el va agafar per sorpresa</t>
  </si>
  <si>
    <t>no tant</t>
  </si>
  <si>
    <t>Donant-li la raó per dins</t>
  </si>
  <si>
    <t xml:space="preserve">què diantre </t>
  </si>
  <si>
    <t>biblioteca</t>
  </si>
  <si>
    <t>Va per feina, per això</t>
  </si>
  <si>
    <t>fascinant</t>
  </si>
  <si>
    <t>Cosa que està molt bé, esclar</t>
  </si>
  <si>
    <t>la cabellera de la Sally, sedosa i rossa com fils d’or</t>
  </si>
  <si>
    <t>li arribava al cor</t>
  </si>
  <si>
    <t xml:space="preserve">aquella lògica tan fresca i directa </t>
  </si>
  <si>
    <t xml:space="preserve">aquella caputxa de fils de seda </t>
  </si>
  <si>
    <t>tan… tan… tan</t>
  </si>
  <si>
    <t>tan ben posats</t>
  </si>
  <si>
    <t>nets i clenxinats com els d’una criatura</t>
  </si>
  <si>
    <t>childishly combed and cleaned</t>
  </si>
  <si>
    <t>R</t>
  </si>
  <si>
    <t>O</t>
  </si>
  <si>
    <t>Inwardly assenting</t>
  </si>
  <si>
    <t>suaus</t>
  </si>
  <si>
    <t xml:space="preserve">havia emergit </t>
  </si>
  <si>
    <t>L'assassinat</t>
  </si>
  <si>
    <t>sense abandonar les seves càbales</t>
  </si>
  <si>
    <t xml:space="preserve">El tenien tan absort </t>
  </si>
  <si>
    <t xml:space="preserve">quan ella va tornar a parlar </t>
  </si>
  <si>
    <t>el va agafar desprevingut</t>
  </si>
  <si>
    <t>menys</t>
  </si>
  <si>
    <t>Donant l’observació per bona</t>
  </si>
  <si>
    <t xml:space="preserve">El vaig agafar </t>
  </si>
  <si>
    <t>L'he tret</t>
  </si>
  <si>
    <t>força</t>
  </si>
  <si>
    <t>cru</t>
  </si>
  <si>
    <t>apassionant</t>
  </si>
  <si>
    <t>és clar que això és bo</t>
  </si>
  <si>
    <t>cabells rossos i pulcrament pentinats</t>
  </si>
  <si>
    <t>els seus sofismes ingenus</t>
  </si>
  <si>
    <t>commovedors</t>
  </si>
  <si>
    <t>aquella caputxa de cabells sedosos</t>
  </si>
  <si>
    <t>igual… igual… igual…</t>
  </si>
  <si>
    <t>polits</t>
  </si>
  <si>
    <t>pulcres</t>
  </si>
  <si>
    <t>igual de nets que els cabells mateixos, repentinats com els d’una criatura</t>
  </si>
  <si>
    <t xml:space="preserve">havia sortit </t>
  </si>
  <si>
    <t>aferrat encara al fil dels seus càlculs</t>
  </si>
  <si>
    <t>L’absorbien tant</t>
  </si>
  <si>
    <t>quan ella tornà a parlar</t>
  </si>
  <si>
    <t>el va sorprendre</t>
  </si>
  <si>
    <t>Amb una aprovació muda</t>
  </si>
  <si>
    <t>biblioteca pública</t>
  </si>
  <si>
    <t>nua</t>
  </si>
  <si>
    <t>els cabells de lli lluent de la Sally</t>
  </si>
  <si>
    <t>sofisticacions ingènues</t>
  </si>
  <si>
    <t>commovedores</t>
  </si>
  <si>
    <t>aquella caputxa de seda</t>
  </si>
  <si>
    <t>tan… tan… tan…</t>
  </si>
  <si>
    <t>ben ordenats</t>
  </si>
  <si>
    <t>tan infantilment pentinats i nets</t>
  </si>
  <si>
    <t>This case was a bit complicated. "Amb una aprovació muda" (back translation: with a mute approval) could be considered as CSM, but a rather forced one. I’m not sure it can be regarded as an error per se, but personally, I prefer the PE and HT reproductions over this rather “odd” CS.</t>
  </si>
  <si>
    <r>
      <t xml:space="preserve">It seems the system translated </t>
    </r>
    <r>
      <rPr>
        <i/>
        <sz val="11"/>
        <color theme="1"/>
        <rFont val="Aptos Narrow"/>
        <family val="2"/>
        <scheme val="minor"/>
      </rPr>
      <t>flaxen</t>
    </r>
    <r>
      <rPr>
        <sz val="11"/>
        <color theme="1"/>
        <rFont val="Aptos Narrow"/>
        <family val="2"/>
        <scheme val="minor"/>
      </rPr>
      <t xml:space="preserve"> in its literal sense. It could be seen as a metaphor and therefore classified as CS, but the most likely explanation is a processing error by the system.</t>
    </r>
  </si>
  <si>
    <t xml:space="preserve">Back translation: that silken hood. The original does not refer to the hood, but to the hair. </t>
  </si>
  <si>
    <t>Comments on MT</t>
  </si>
  <si>
    <t>back translation: well-ordered. In my view, the adjective “ordenat” is more appropriate when applied to objects, but it sounds rather strange for hair.</t>
  </si>
  <si>
    <t>total 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</si>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</sst>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FA1E-0AEE-43C9-99EE-02A6AED694C1}">
  <dimension ref="A1:I43"/>
  <sheetViews>
    <sheetView tabSelected="1" workbookViewId="0">
      <selection activeCell="A3" sqref="A3:XFD3"/>
    </sheetView>
  </sheetViews>
  <sheetFormatPr defaultColWidth="9.109375" defaultRowHeight="14.4" x14ac:dyDescent="0.3"/>
  <cols>
    <col min="1" max="1" width="32" style="1" customWidth="1"/>
    <col min="2" max="2" width="27.5546875" style="2" customWidth="1"/>
    <col min="3" max="3" width="25" style="2" customWidth="1"/>
    <col min="4" max="4" width="13.33203125" style="2" customWidth="1"/>
    <col min="5" max="5" width="26.44140625" style="2" customWidth="1"/>
    <col min="6" max="6" width="15.88671875" style="2" customWidth="1"/>
    <col min="7" max="7" width="27.33203125" style="2" customWidth="1"/>
    <col min="8" max="8" width="14.88671875" style="2" customWidth="1"/>
    <col min="9" max="9" width="31.44140625" style="2" customWidth="1"/>
    <col min="10" max="16384" width="9.109375" style="2"/>
  </cols>
  <sheetData>
    <row r="1" spans="1:9" ht="28.8" x14ac:dyDescent="0.3">
      <c r="A1" s="1" t="s">
        <v>0</v>
      </c>
      <c r="C1" s="2" t="s">
        <v>37</v>
      </c>
      <c r="D1" s="2" t="s">
        <v>36</v>
      </c>
      <c r="E1" s="2" t="s">
        <v>38</v>
      </c>
      <c r="F1" s="2" t="s">
        <v>36</v>
      </c>
      <c r="G1" s="2" t="s">
        <v>39</v>
      </c>
      <c r="H1" s="2" t="s">
        <v>36</v>
      </c>
      <c r="I1" s="2" t="s">
        <v>117</v>
      </c>
    </row>
    <row r="2" spans="1:9" x14ac:dyDescent="0.3">
      <c r="A2" s="1" t="s">
        <v>1</v>
      </c>
    </row>
    <row r="3" spans="1:9" ht="43.2" x14ac:dyDescent="0.3">
      <c r="A3" s="3" t="s">
        <v>2</v>
      </c>
      <c r="B3" s="4" t="s">
        <v>3</v>
      </c>
      <c r="C3" s="8" t="s">
        <v>52</v>
      </c>
      <c r="D3" s="2" t="s">
        <v>45</v>
      </c>
      <c r="E3" s="8" t="s">
        <v>77</v>
      </c>
      <c r="F3" s="2" t="s">
        <v>73</v>
      </c>
      <c r="G3" s="8" t="s">
        <v>99</v>
      </c>
      <c r="H3" s="2" t="s">
        <v>73</v>
      </c>
    </row>
    <row r="4" spans="1:9" ht="28.8" x14ac:dyDescent="0.3">
      <c r="A4" s="5" t="s">
        <v>4</v>
      </c>
      <c r="B4" s="6" t="s">
        <v>40</v>
      </c>
      <c r="C4" s="8" t="s">
        <v>53</v>
      </c>
      <c r="D4" s="2" t="s">
        <v>73</v>
      </c>
      <c r="E4" s="2" t="s">
        <v>78</v>
      </c>
      <c r="F4" s="2" t="s">
        <v>73</v>
      </c>
      <c r="G4" s="2" t="s">
        <v>78</v>
      </c>
      <c r="H4" s="2" t="s">
        <v>73</v>
      </c>
    </row>
    <row r="5" spans="1:9" ht="31.2" x14ac:dyDescent="0.3">
      <c r="A5" s="5" t="s">
        <v>5</v>
      </c>
      <c r="B5" s="6" t="s">
        <v>6</v>
      </c>
      <c r="C5" s="8" t="s">
        <v>54</v>
      </c>
      <c r="D5" s="2" t="s">
        <v>73</v>
      </c>
      <c r="E5" s="8" t="s">
        <v>79</v>
      </c>
      <c r="F5" s="2" t="s">
        <v>73</v>
      </c>
      <c r="G5" s="8" t="s">
        <v>100</v>
      </c>
      <c r="H5" s="2" t="s">
        <v>73</v>
      </c>
    </row>
    <row r="6" spans="1:9" ht="43.2" x14ac:dyDescent="0.3">
      <c r="A6" s="5" t="s">
        <v>7</v>
      </c>
      <c r="B6" s="6" t="s">
        <v>8</v>
      </c>
      <c r="C6" s="8" t="s">
        <v>55</v>
      </c>
      <c r="D6" s="2" t="s">
        <v>73</v>
      </c>
      <c r="E6" s="8" t="s">
        <v>80</v>
      </c>
      <c r="F6" s="2" t="s">
        <v>73</v>
      </c>
      <c r="G6" s="8" t="s">
        <v>101</v>
      </c>
      <c r="H6" s="2" t="s">
        <v>73</v>
      </c>
    </row>
    <row r="7" spans="1:9" ht="31.2" x14ac:dyDescent="0.3">
      <c r="A7" s="5"/>
      <c r="B7" s="6" t="s">
        <v>9</v>
      </c>
      <c r="C7" s="8" t="s">
        <v>56</v>
      </c>
      <c r="D7" s="2" t="s">
        <v>73</v>
      </c>
      <c r="E7" s="8" t="s">
        <v>81</v>
      </c>
      <c r="F7" s="2" t="s">
        <v>73</v>
      </c>
      <c r="G7" s="8" t="s">
        <v>102</v>
      </c>
      <c r="H7" s="2" t="s">
        <v>73</v>
      </c>
    </row>
    <row r="8" spans="1:9" ht="15.6" x14ac:dyDescent="0.3">
      <c r="A8" s="5"/>
      <c r="B8" s="6" t="s">
        <v>10</v>
      </c>
      <c r="C8" s="8" t="s">
        <v>57</v>
      </c>
      <c r="D8" s="2" t="s">
        <v>73</v>
      </c>
      <c r="E8" s="8" t="s">
        <v>82</v>
      </c>
      <c r="F8" s="2" t="s">
        <v>73</v>
      </c>
      <c r="G8" s="8" t="s">
        <v>103</v>
      </c>
      <c r="H8" s="2" t="s">
        <v>73</v>
      </c>
    </row>
    <row r="9" spans="1:9" ht="28.8" x14ac:dyDescent="0.3">
      <c r="A9" s="5" t="s">
        <v>11</v>
      </c>
      <c r="B9" s="6" t="s">
        <v>12</v>
      </c>
      <c r="C9" s="8" t="s">
        <v>58</v>
      </c>
      <c r="D9" s="2" t="s">
        <v>73</v>
      </c>
      <c r="E9" s="2" t="s">
        <v>83</v>
      </c>
      <c r="F9" s="2" t="s">
        <v>73</v>
      </c>
      <c r="G9" s="2" t="s">
        <v>83</v>
      </c>
      <c r="H9" s="2" t="s">
        <v>73</v>
      </c>
    </row>
    <row r="10" spans="1:9" ht="156" x14ac:dyDescent="0.3">
      <c r="A10" s="3" t="s">
        <v>13</v>
      </c>
      <c r="B10" s="4" t="s">
        <v>75</v>
      </c>
      <c r="C10" s="8" t="s">
        <v>59</v>
      </c>
      <c r="D10" s="2" t="s">
        <v>73</v>
      </c>
      <c r="E10" s="8" t="s">
        <v>84</v>
      </c>
      <c r="F10" s="2" t="s">
        <v>73</v>
      </c>
      <c r="G10" s="8" t="s">
        <v>104</v>
      </c>
      <c r="H10" s="2" t="s">
        <v>46</v>
      </c>
      <c r="I10" s="8" t="s">
        <v>114</v>
      </c>
    </row>
    <row r="11" spans="1:9" ht="28.8" x14ac:dyDescent="0.3">
      <c r="A11" s="5" t="s">
        <v>14</v>
      </c>
      <c r="B11" s="6" t="s">
        <v>15</v>
      </c>
      <c r="C11" s="8" t="s">
        <v>60</v>
      </c>
      <c r="D11" s="2" t="s">
        <v>46</v>
      </c>
      <c r="F11" s="2" t="s">
        <v>74</v>
      </c>
      <c r="H11" s="2" t="s">
        <v>74</v>
      </c>
    </row>
    <row r="12" spans="1:9" ht="28.8" x14ac:dyDescent="0.3">
      <c r="A12" s="5" t="s">
        <v>16</v>
      </c>
      <c r="B12" s="6"/>
    </row>
    <row r="13" spans="1:9" ht="15.6" x14ac:dyDescent="0.3">
      <c r="A13" s="5" t="s">
        <v>17</v>
      </c>
      <c r="B13" s="6" t="s">
        <v>18</v>
      </c>
      <c r="C13" s="8" t="s">
        <v>85</v>
      </c>
      <c r="D13" s="2" t="s">
        <v>73</v>
      </c>
      <c r="E13" s="2" t="s">
        <v>86</v>
      </c>
      <c r="F13" s="2" t="s">
        <v>73</v>
      </c>
      <c r="G13" s="2" t="s">
        <v>86</v>
      </c>
      <c r="H13" s="2" t="s">
        <v>73</v>
      </c>
    </row>
    <row r="14" spans="1:9" x14ac:dyDescent="0.3">
      <c r="A14" s="5"/>
      <c r="B14" s="6" t="s">
        <v>41</v>
      </c>
      <c r="C14" s="6" t="s">
        <v>61</v>
      </c>
      <c r="D14" s="2" t="s">
        <v>73</v>
      </c>
      <c r="E14" s="2" t="s">
        <v>61</v>
      </c>
      <c r="F14" s="2" t="s">
        <v>73</v>
      </c>
      <c r="G14" s="2" t="s">
        <v>105</v>
      </c>
      <c r="H14" s="2" t="s">
        <v>73</v>
      </c>
    </row>
    <row r="15" spans="1:9" x14ac:dyDescent="0.3">
      <c r="A15" s="5" t="s">
        <v>19</v>
      </c>
      <c r="B15" s="6"/>
    </row>
    <row r="16" spans="1:9" x14ac:dyDescent="0.3">
      <c r="A16" s="5" t="s">
        <v>20</v>
      </c>
      <c r="B16" s="6" t="s">
        <v>21</v>
      </c>
      <c r="C16" s="6"/>
      <c r="D16" s="2" t="s">
        <v>74</v>
      </c>
      <c r="E16" s="2" t="s">
        <v>87</v>
      </c>
      <c r="F16" s="2" t="s">
        <v>73</v>
      </c>
      <c r="G16" s="2" t="s">
        <v>87</v>
      </c>
      <c r="H16" s="2" t="s">
        <v>73</v>
      </c>
    </row>
    <row r="17" spans="1:9" ht="15.6" x14ac:dyDescent="0.3">
      <c r="A17" s="5"/>
      <c r="B17" s="6" t="s">
        <v>22</v>
      </c>
      <c r="C17" s="8" t="s">
        <v>62</v>
      </c>
      <c r="D17" s="2" t="s">
        <v>46</v>
      </c>
      <c r="E17" s="2" t="s">
        <v>88</v>
      </c>
      <c r="F17" s="2" t="s">
        <v>73</v>
      </c>
      <c r="G17" s="2" t="s">
        <v>106</v>
      </c>
      <c r="H17" s="2" t="s">
        <v>73</v>
      </c>
    </row>
    <row r="18" spans="1:9" x14ac:dyDescent="0.3">
      <c r="A18" s="5" t="s">
        <v>23</v>
      </c>
      <c r="B18" s="6"/>
    </row>
    <row r="19" spans="1:9" x14ac:dyDescent="0.3">
      <c r="A19" s="5" t="s">
        <v>24</v>
      </c>
      <c r="B19" s="6" t="s">
        <v>25</v>
      </c>
      <c r="C19" s="6" t="s">
        <v>63</v>
      </c>
      <c r="D19" s="2" t="s">
        <v>73</v>
      </c>
      <c r="E19" s="2" t="s">
        <v>89</v>
      </c>
      <c r="F19" s="2" t="s">
        <v>73</v>
      </c>
      <c r="G19" s="2" t="s">
        <v>89</v>
      </c>
      <c r="H19" s="2" t="s">
        <v>73</v>
      </c>
    </row>
    <row r="20" spans="1:9" ht="28.8" x14ac:dyDescent="0.3">
      <c r="A20" s="5" t="s">
        <v>26</v>
      </c>
      <c r="B20" s="6"/>
      <c r="C20" s="6"/>
    </row>
    <row r="21" spans="1:9" x14ac:dyDescent="0.3">
      <c r="A21" s="5" t="s">
        <v>27</v>
      </c>
      <c r="B21" s="6"/>
      <c r="C21" s="6"/>
    </row>
    <row r="22" spans="1:9" ht="31.2" x14ac:dyDescent="0.3">
      <c r="A22" s="5" t="s">
        <v>28</v>
      </c>
      <c r="B22" s="6" t="s">
        <v>42</v>
      </c>
      <c r="C22" s="8" t="s">
        <v>64</v>
      </c>
      <c r="D22" s="2" t="s">
        <v>73</v>
      </c>
      <c r="E22" s="2" t="s">
        <v>90</v>
      </c>
      <c r="F22" s="2" t="s">
        <v>73</v>
      </c>
      <c r="G22" s="2" t="s">
        <v>90</v>
      </c>
      <c r="H22" s="2" t="s">
        <v>73</v>
      </c>
    </row>
    <row r="23" spans="1:9" ht="72" x14ac:dyDescent="0.3">
      <c r="A23" s="5" t="s">
        <v>29</v>
      </c>
      <c r="B23" s="6" t="s">
        <v>30</v>
      </c>
      <c r="C23" s="8" t="s">
        <v>65</v>
      </c>
      <c r="D23" s="2" t="s">
        <v>46</v>
      </c>
      <c r="E23" s="2" t="s">
        <v>91</v>
      </c>
      <c r="F23" s="2" t="s">
        <v>45</v>
      </c>
      <c r="G23" s="2" t="s">
        <v>107</v>
      </c>
      <c r="H23" s="2" t="s">
        <v>73</v>
      </c>
      <c r="I23" s="2" t="s">
        <v>115</v>
      </c>
    </row>
    <row r="24" spans="1:9" ht="57.6" x14ac:dyDescent="0.3">
      <c r="A24" s="5" t="s">
        <v>31</v>
      </c>
      <c r="B24" s="6" t="s">
        <v>32</v>
      </c>
      <c r="C24" s="8" t="s">
        <v>67</v>
      </c>
      <c r="D24" s="2" t="s">
        <v>46</v>
      </c>
      <c r="E24" s="2" t="s">
        <v>92</v>
      </c>
      <c r="F24" s="2" t="s">
        <v>45</v>
      </c>
      <c r="G24" s="2" t="s">
        <v>108</v>
      </c>
      <c r="H24" s="2" t="s">
        <v>73</v>
      </c>
    </row>
    <row r="25" spans="1:9" x14ac:dyDescent="0.3">
      <c r="A25" s="5"/>
      <c r="B25" s="6" t="s">
        <v>33</v>
      </c>
      <c r="C25" s="6" t="s">
        <v>66</v>
      </c>
      <c r="D25" s="2" t="s">
        <v>45</v>
      </c>
      <c r="E25" s="2" t="s">
        <v>93</v>
      </c>
      <c r="F25" s="2" t="s">
        <v>73</v>
      </c>
      <c r="G25" s="2" t="s">
        <v>109</v>
      </c>
      <c r="H25" s="2" t="s">
        <v>73</v>
      </c>
    </row>
    <row r="26" spans="1:9" ht="72" x14ac:dyDescent="0.3">
      <c r="A26" s="5" t="s">
        <v>34</v>
      </c>
      <c r="B26" s="6" t="s">
        <v>43</v>
      </c>
      <c r="C26" s="8" t="s">
        <v>68</v>
      </c>
      <c r="D26" s="2" t="s">
        <v>46</v>
      </c>
      <c r="E26" s="2" t="s">
        <v>94</v>
      </c>
      <c r="F26" s="2" t="s">
        <v>73</v>
      </c>
      <c r="G26" s="2" t="s">
        <v>110</v>
      </c>
      <c r="H26" s="2" t="s">
        <v>73</v>
      </c>
      <c r="I26" s="2" t="s">
        <v>116</v>
      </c>
    </row>
    <row r="27" spans="1:9" x14ac:dyDescent="0.3">
      <c r="A27" s="5"/>
      <c r="B27" s="6" t="s">
        <v>48</v>
      </c>
      <c r="C27" s="6" t="s">
        <v>69</v>
      </c>
      <c r="D27" s="2" t="s">
        <v>73</v>
      </c>
      <c r="E27" s="2" t="s">
        <v>95</v>
      </c>
      <c r="F27" s="2" t="s">
        <v>73</v>
      </c>
      <c r="G27" s="2" t="s">
        <v>111</v>
      </c>
      <c r="H27" s="2" t="s">
        <v>73</v>
      </c>
    </row>
    <row r="28" spans="1:9" x14ac:dyDescent="0.3">
      <c r="B28" s="2" t="s">
        <v>44</v>
      </c>
      <c r="C28" s="6" t="s">
        <v>76</v>
      </c>
      <c r="D28" s="2" t="s">
        <v>73</v>
      </c>
      <c r="E28" s="2" t="s">
        <v>96</v>
      </c>
      <c r="F28" s="2" t="s">
        <v>73</v>
      </c>
      <c r="G28" s="2" t="s">
        <v>96</v>
      </c>
      <c r="H28" s="2" t="s">
        <v>73</v>
      </c>
    </row>
    <row r="29" spans="1:9" ht="57.6" x14ac:dyDescent="0.3">
      <c r="B29" s="2" t="s">
        <v>35</v>
      </c>
      <c r="C29" s="6" t="s">
        <v>70</v>
      </c>
      <c r="D29" s="2" t="s">
        <v>73</v>
      </c>
      <c r="E29" s="2" t="s">
        <v>97</v>
      </c>
      <c r="F29" s="2" t="s">
        <v>73</v>
      </c>
      <c r="G29" s="2" t="s">
        <v>112</v>
      </c>
      <c r="H29" s="2" t="s">
        <v>73</v>
      </c>
      <c r="I29" s="2" t="s">
        <v>118</v>
      </c>
    </row>
    <row r="30" spans="1:9" ht="62.4" x14ac:dyDescent="0.3">
      <c r="B30" s="2" t="s">
        <v>72</v>
      </c>
      <c r="C30" s="8" t="s">
        <v>71</v>
      </c>
      <c r="D30" s="2" t="s">
        <v>73</v>
      </c>
      <c r="E30" s="8" t="s">
        <v>98</v>
      </c>
      <c r="F30" s="2" t="s">
        <v>46</v>
      </c>
      <c r="G30" s="2" t="s">
        <v>113</v>
      </c>
      <c r="H30" s="2" t="s">
        <v>73</v>
      </c>
    </row>
    <row r="34" spans="3:8" x14ac:dyDescent="0.3">
      <c r="C34" s="2" t="s">
        <v>46</v>
      </c>
      <c r="D34" s="2">
        <f>COUNTIF(D$2:D$30, "CSM")</f>
        <v>5</v>
      </c>
      <c r="E34" s="2" t="s">
        <v>46</v>
      </c>
      <c r="F34" s="2">
        <f>COUNTIF(F$2:F$30, "CSM")</f>
        <v>1</v>
      </c>
      <c r="G34" s="2" t="s">
        <v>46</v>
      </c>
      <c r="H34" s="2">
        <f>COUNTIF(H$2:H$30, "CSM")</f>
        <v>1</v>
      </c>
    </row>
    <row r="35" spans="3:8" x14ac:dyDescent="0.3">
      <c r="C35" s="2" t="s">
        <v>45</v>
      </c>
      <c r="D35" s="2">
        <f>COUNTIF(D$2:D$30, "CSC")</f>
        <v>2</v>
      </c>
      <c r="E35" s="2" t="s">
        <v>45</v>
      </c>
      <c r="F35" s="2">
        <f>COUNTIF(F$2:F$30, "CSC")</f>
        <v>2</v>
      </c>
      <c r="G35" s="2" t="s">
        <v>45</v>
      </c>
      <c r="H35" s="2">
        <f>COUNTIF(H$2:H$30, "CSC")</f>
        <v>0</v>
      </c>
    </row>
    <row r="36" spans="3:8" x14ac:dyDescent="0.3">
      <c r="C36" s="2" t="s">
        <v>47</v>
      </c>
      <c r="D36" s="2">
        <f>COUNTIF(D$2:D$30, "CSA")</f>
        <v>0</v>
      </c>
      <c r="E36" s="2" t="s">
        <v>47</v>
      </c>
      <c r="F36" s="2">
        <f>COUNTIF(F$2:F$30, "CSA")</f>
        <v>0</v>
      </c>
      <c r="G36" s="2" t="s">
        <v>47</v>
      </c>
      <c r="H36" s="2">
        <f>COUNTIF(H$2:H$30, "CSA")</f>
        <v>0</v>
      </c>
    </row>
    <row r="37" spans="3:8" x14ac:dyDescent="0.3">
      <c r="C37" s="2" t="s">
        <v>73</v>
      </c>
      <c r="D37" s="2">
        <f>COUNTIF(D$2:D$30, "R")</f>
        <v>15</v>
      </c>
      <c r="E37" s="2" t="s">
        <v>73</v>
      </c>
      <c r="F37" s="2">
        <f>COUNTIF(F$2:F$30, "R")</f>
        <v>19</v>
      </c>
      <c r="G37" s="2" t="s">
        <v>73</v>
      </c>
      <c r="H37" s="2">
        <f>COUNTIF(H$2:H$30, "R")</f>
        <v>21</v>
      </c>
    </row>
    <row r="38" spans="3:8" x14ac:dyDescent="0.3">
      <c r="C38" s="2" t="s">
        <v>74</v>
      </c>
      <c r="D38" s="2">
        <f>COUNTIF(D$2:D$30, "O")</f>
        <v>1</v>
      </c>
      <c r="E38" s="2" t="s">
        <v>74</v>
      </c>
      <c r="F38" s="2">
        <f>COUNTIF(F$2:F$30, "O")</f>
        <v>1</v>
      </c>
      <c r="G38" s="2" t="s">
        <v>74</v>
      </c>
      <c r="H38" s="2">
        <f>COUNTIF(H$2:H$30, "O")</f>
        <v>1</v>
      </c>
    </row>
    <row r="40" spans="3:8" x14ac:dyDescent="0.3">
      <c r="C40" s="2" t="s">
        <v>119</v>
      </c>
      <c r="D40" s="2">
        <f>SUM(D34:D36)</f>
        <v>7</v>
      </c>
      <c r="E40" s="2" t="s">
        <v>119</v>
      </c>
      <c r="F40" s="2">
        <f>SUM(F34:F36)</f>
        <v>3</v>
      </c>
      <c r="G40" s="2" t="s">
        <v>119</v>
      </c>
      <c r="H40" s="2">
        <f>SUM(H34:H36)</f>
        <v>1</v>
      </c>
    </row>
    <row r="41" spans="3:8" x14ac:dyDescent="0.3">
      <c r="C41" s="2" t="s">
        <v>120</v>
      </c>
      <c r="D41" s="2">
        <f>SUM(D34:D38)</f>
        <v>23</v>
      </c>
      <c r="E41" s="2" t="s">
        <v>120</v>
      </c>
      <c r="F41" s="2">
        <f>SUM(F34:F38)</f>
        <v>23</v>
      </c>
      <c r="G41" s="2" t="s">
        <v>120</v>
      </c>
      <c r="H41" s="2">
        <f>SUM(H34:H38)</f>
        <v>23</v>
      </c>
    </row>
    <row r="43" spans="3:8" x14ac:dyDescent="0.3">
      <c r="C43" s="1" t="s">
        <v>37</v>
      </c>
      <c r="E43" s="1" t="s">
        <v>38</v>
      </c>
      <c r="G43" s="1" t="s">
        <v>39</v>
      </c>
    </row>
  </sheetData>
  <autoFilter ref="A1:I30" xr:uid="{3D3EFA1E-0AEE-43C9-99EE-02A6AED694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7134-0FAC-4C91-9594-8D2C891A5DEB}">
  <dimension ref="A2:D12"/>
  <sheetViews>
    <sheetView workbookViewId="0">
      <selection activeCell="D11" sqref="D11"/>
    </sheetView>
  </sheetViews>
  <sheetFormatPr defaultColWidth="9.109375" defaultRowHeight="14.4" x14ac:dyDescent="0.3"/>
  <cols>
    <col min="1" max="1" width="12.5546875" customWidth="1"/>
  </cols>
  <sheetData>
    <row r="2" spans="1:4" x14ac:dyDescent="0.3">
      <c r="B2" t="s">
        <v>37</v>
      </c>
      <c r="C2" t="s">
        <v>38</v>
      </c>
      <c r="D2" t="s">
        <v>39</v>
      </c>
    </row>
    <row r="3" spans="1:4" x14ac:dyDescent="0.3">
      <c r="A3" t="s">
        <v>46</v>
      </c>
      <c r="B3">
        <f>COUNTIF(Sheet1!$D$2:$D$36, "CSM")</f>
        <v>5</v>
      </c>
      <c r="C3">
        <f>COUNTIF(Sheet1!$F$2:$F$36, "CSM")</f>
        <v>1</v>
      </c>
      <c r="D3">
        <f>COUNTIF(Sheet1!$H$2:$H$36, "CSM")</f>
        <v>1</v>
      </c>
    </row>
    <row r="4" spans="1:4" x14ac:dyDescent="0.3">
      <c r="A4" t="s">
        <v>47</v>
      </c>
      <c r="B4">
        <f>COUNTIF(Sheet1!$D$2:$D$36, "CSA")</f>
        <v>0</v>
      </c>
      <c r="C4">
        <f>COUNTIF(Sheet1!$F$2:$F$36, "CSA")</f>
        <v>0</v>
      </c>
      <c r="D4">
        <f>COUNTIF(Sheet1!$H$2:$H$36, "CSA")</f>
        <v>0</v>
      </c>
    </row>
    <row r="5" spans="1:4" x14ac:dyDescent="0.3">
      <c r="A5" t="s">
        <v>45</v>
      </c>
      <c r="B5">
        <f>COUNTIF(Sheet1!$D$2:$D$36, "CSC")</f>
        <v>2</v>
      </c>
      <c r="C5">
        <f>COUNTIF(Sheet1!$F$2:$F$36, "CSC")</f>
        <v>2</v>
      </c>
      <c r="D5">
        <f>COUNTIF(Sheet1!$H$2:$H$36, "CSC")</f>
        <v>0</v>
      </c>
    </row>
    <row r="6" spans="1:4" x14ac:dyDescent="0.3">
      <c r="A6" t="s">
        <v>49</v>
      </c>
      <c r="B6">
        <f>SUM(B3:B5)</f>
        <v>7</v>
      </c>
      <c r="C6">
        <f>SUM(C3:C5)</f>
        <v>3</v>
      </c>
      <c r="D6">
        <f>SUM(D3:D5)</f>
        <v>1</v>
      </c>
    </row>
    <row r="7" spans="1:4" x14ac:dyDescent="0.3">
      <c r="A7" t="s">
        <v>51</v>
      </c>
      <c r="B7">
        <f>COUNTIF(Sheet1!$D$2:$D$36, "R")</f>
        <v>15</v>
      </c>
      <c r="C7">
        <f>COUNTIF(Sheet1!$F$2:$F$36, "R")</f>
        <v>19</v>
      </c>
      <c r="D7">
        <f>COUNTIF(Sheet1!$H$2:$H$36, "R")</f>
        <v>21</v>
      </c>
    </row>
    <row r="9" spans="1:4" x14ac:dyDescent="0.3">
      <c r="A9" s="7" t="s">
        <v>50</v>
      </c>
      <c r="B9">
        <f>SUM(B6:B7)</f>
        <v>22</v>
      </c>
      <c r="C9">
        <f>SUM(C6:C7)</f>
        <v>22</v>
      </c>
      <c r="D9">
        <f>SUM(D6:D7)</f>
        <v>22</v>
      </c>
    </row>
    <row r="12" spans="1:4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2025-09-02T11:59:04Z</dcterms:created>
  <dcterms:modified xsi:type="dcterms:W3CDTF">2026-03-16T12:34:21Z</dcterms:modified>
</cp:coreProperties>
</file>