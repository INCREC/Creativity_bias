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UCP analyse/To Dutch/"/>
    </mc:Choice>
  </mc:AlternateContent>
  <xr:revisionPtr revIDLastSave="276" documentId="8_{4B15B215-75E3-4B17-8873-EEBF1FB17A77}" xr6:coauthVersionLast="47" xr6:coauthVersionMax="47" xr10:uidLastSave="{94811250-6107-463D-9E5A-218C5D6D6A28}"/>
  <bookViews>
    <workbookView xWindow="-108" yWindow="-108" windowWidth="23256" windowHeight="12456" activeTab="2" xr2:uid="{911686EC-3600-4D36-9A9E-E4FDF96CEFF4}"/>
  </bookViews>
  <sheets>
    <sheet name="Sheet1" sheetId="1" r:id="rId1"/>
    <sheet name="Overview" sheetId="4" r:id="rId2"/>
    <sheet name="Sheet6" sheetId="6" r:id="rId3"/>
    <sheet name="CI_new" sheetId="8" r:id="rId4"/>
    <sheet name="Old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/>
  <c r="C6" i="8"/>
  <c r="B6" i="8"/>
  <c r="D4" i="8"/>
  <c r="C4" i="8"/>
  <c r="B4" i="8"/>
  <c r="D3" i="8"/>
  <c r="C3" i="8"/>
  <c r="B3" i="8"/>
  <c r="D2" i="8"/>
  <c r="D5" i="8" s="1"/>
  <c r="C2" i="8"/>
  <c r="C5" i="8" s="1"/>
  <c r="B2" i="8"/>
  <c r="B5" i="8" s="1"/>
  <c r="C16" i="7"/>
  <c r="D16" i="7"/>
  <c r="B16" i="7"/>
  <c r="D7" i="7"/>
  <c r="D5" i="7"/>
  <c r="D4" i="7"/>
  <c r="D3" i="7"/>
  <c r="C7" i="7"/>
  <c r="C5" i="7"/>
  <c r="C4" i="7"/>
  <c r="C3" i="7"/>
  <c r="B7" i="7"/>
  <c r="B5" i="7"/>
  <c r="B3" i="7"/>
  <c r="B4" i="7"/>
  <c r="D7" i="4"/>
  <c r="D5" i="4"/>
  <c r="D4" i="4"/>
  <c r="D3" i="4"/>
  <c r="C7" i="4"/>
  <c r="C5" i="4"/>
  <c r="C4" i="4"/>
  <c r="C3" i="4"/>
  <c r="B7" i="4"/>
  <c r="B5" i="4"/>
  <c r="B4" i="4"/>
  <c r="B3" i="4"/>
  <c r="B6" i="4" s="1"/>
  <c r="B9" i="4" s="1"/>
  <c r="C8" i="8" l="1"/>
  <c r="C15" i="8" s="1"/>
  <c r="B8" i="8"/>
  <c r="B15" i="8" s="1"/>
  <c r="D8" i="8"/>
  <c r="D15" i="8" s="1"/>
  <c r="B6" i="7"/>
  <c r="B9" i="7" s="1"/>
  <c r="D6" i="7"/>
  <c r="D9" i="7" s="1"/>
  <c r="C6" i="7"/>
  <c r="C9" i="7" s="1"/>
  <c r="D6" i="4"/>
  <c r="D9" i="4" s="1"/>
  <c r="C6" i="4"/>
  <c r="C9" i="4" s="1"/>
</calcChain>
</file>

<file path=xl/sharedStrings.xml><?xml version="1.0" encoding="utf-8"?>
<sst xmlns="http://schemas.openxmlformats.org/spreadsheetml/2006/main" count="470" uniqueCount="141">
  <si>
    <t>English</t>
  </si>
  <si>
    <t>Afternoon in Summer</t>
  </si>
  <si>
    <t>He became aware that Sally had emerged from her book and was about to say something.</t>
  </si>
  <si>
    <t>became aware</t>
  </si>
  <si>
    <t>Sally</t>
  </si>
  <si>
    <t>had emerged</t>
  </si>
  <si>
    <t xml:space="preserve">“Murder is an occupational risk for prostitutes.” </t>
  </si>
  <si>
    <t xml:space="preserve">“Hmm,” said he, clinging to the thread of his calculations.  </t>
  </si>
  <si>
    <t>clinging to the thread</t>
  </si>
  <si>
    <t xml:space="preserve">They grew so engrossing that when next she spoke it took him by surprise. </t>
  </si>
  <si>
    <t>grew … engrossing</t>
  </si>
  <si>
    <t>when next</t>
  </si>
  <si>
    <t>took him by surprise</t>
  </si>
  <si>
    <t xml:space="preserve">“And for wives, too—though not so much.” </t>
  </si>
  <si>
    <t>wives</t>
  </si>
  <si>
    <t>not so much</t>
  </si>
  <si>
    <t xml:space="preserve">Inwardly assenting, Willie asked, </t>
  </si>
  <si>
    <t>Inwardly assneting</t>
  </si>
  <si>
    <t>Willie</t>
  </si>
  <si>
    <t xml:space="preserve">“What on earth are you reading now?” </t>
  </si>
  <si>
    <t>on earth</t>
  </si>
  <si>
    <t xml:space="preserve">“A book about all the murders committed in the last thirty years. </t>
  </si>
  <si>
    <t>I got it from the public library.”</t>
  </si>
  <si>
    <t>got</t>
  </si>
  <si>
    <t>“Is it interesting?”</t>
  </si>
  <si>
    <t xml:space="preserve">“Yes. In rather a stark way. </t>
  </si>
  <si>
    <t>rather</t>
  </si>
  <si>
    <t>stark</t>
  </si>
  <si>
    <t>Just facts and sentences.”</t>
  </si>
  <si>
    <t>“Sounds enthralling.”</t>
  </si>
  <si>
    <t>enthralling</t>
  </si>
  <si>
    <t xml:space="preserve">“But murder is not so much of an occupational risk for murderers.  </t>
  </si>
  <si>
    <t xml:space="preserve">I mean, they mostly aren’t hanged. </t>
  </si>
  <si>
    <t>I mean</t>
  </si>
  <si>
    <t>hanged</t>
  </si>
  <si>
    <t>Of course, that’s a good thing.”</t>
  </si>
  <si>
    <t xml:space="preserve">He looked at Sally’s sleek flaxen hair, now bent over her book again.  </t>
  </si>
  <si>
    <t>sleek flaxen hair</t>
  </si>
  <si>
    <t xml:space="preserve">Though he was still young, still a student, he was a year older than she and found her artless sophistications touching.  </t>
  </si>
  <si>
    <t>her artless sophistications</t>
  </si>
  <si>
    <t>touching</t>
  </si>
  <si>
    <t xml:space="preserve">It was as though the mental processes beneath that hood of silken hair were as sleek, as smoothly disposed, as childishly combed and clean. </t>
  </si>
  <si>
    <t>smoothly disposed</t>
  </si>
  <si>
    <t>childishly comed and cleaned</t>
  </si>
  <si>
    <t>childishly comed</t>
  </si>
  <si>
    <t>Annotations of UCPs</t>
  </si>
  <si>
    <t>#Errors</t>
  </si>
  <si>
    <t>HT</t>
  </si>
  <si>
    <t>PE</t>
  </si>
  <si>
    <t>MT</t>
  </si>
  <si>
    <t xml:space="preserve">merkte </t>
  </si>
  <si>
    <t xml:space="preserve">Sally </t>
  </si>
  <si>
    <t xml:space="preserve">tevoorschijn was gekomen </t>
  </si>
  <si>
    <t>murder</t>
  </si>
  <si>
    <t>Vermoord worden</t>
  </si>
  <si>
    <t>probeerde hij de draad van zijn berekeningen te volgen</t>
  </si>
  <si>
    <t>zo ingespannen … dat</t>
  </si>
  <si>
    <t>toen ze weer</t>
  </si>
  <si>
    <t>hij opschrok</t>
  </si>
  <si>
    <t>echtgenotes</t>
  </si>
  <si>
    <t>al is het wat minder</t>
  </si>
  <si>
    <t>stilzwijgend moest … beamen</t>
  </si>
  <si>
    <t>in hemelsnaam</t>
  </si>
  <si>
    <t>Geleend</t>
  </si>
  <si>
    <t>public library</t>
  </si>
  <si>
    <t>bibliotheek</t>
  </si>
  <si>
    <t>heel</t>
  </si>
  <si>
    <t>kaal</t>
  </si>
  <si>
    <t>betoverend</t>
  </si>
  <si>
    <t>veel minder</t>
  </si>
  <si>
    <t>ik bedoel</t>
  </si>
  <si>
    <t>worden … opgehangen</t>
  </si>
  <si>
    <t xml:space="preserve">Of course, that’s a good thing.” </t>
  </si>
  <si>
    <t>Wat natuurlijk goed is</t>
  </si>
  <si>
    <t>sluike lichtblonde haar</t>
  </si>
  <si>
    <t>argeloze wijsneuzigheden</t>
  </si>
  <si>
    <t>aandoenlijk</t>
  </si>
  <si>
    <t>that hood of silken hair</t>
  </si>
  <si>
    <t>sleek</t>
  </si>
  <si>
    <t>die zijden capuchon van blonde haren</t>
  </si>
  <si>
    <t>sluik</t>
  </si>
  <si>
    <t>(even) gladgestreken</t>
  </si>
  <si>
    <t>(even) kinderlijk gekamd en schoon</t>
  </si>
  <si>
    <t>(even) kinderlijk gekamd</t>
  </si>
  <si>
    <t>R</t>
  </si>
  <si>
    <t>CSC</t>
  </si>
  <si>
    <t>CSM</t>
  </si>
  <si>
    <t>CSA</t>
  </si>
  <si>
    <t>uit …opkeek</t>
  </si>
  <si>
    <t>hij probeerde de draad van zijn berekeningen vast te houden</t>
  </si>
  <si>
    <t xml:space="preserve">namen hem zo in beslag </t>
  </si>
  <si>
    <t>iets minder</t>
  </si>
  <si>
    <t>inwendig gelijkgevend</t>
  </si>
  <si>
    <t>nou</t>
  </si>
  <si>
    <t>heb</t>
  </si>
  <si>
    <t>nogal</t>
  </si>
  <si>
    <t>droge</t>
  </si>
  <si>
    <t>boeiend</t>
  </si>
  <si>
    <t>niet echt</t>
  </si>
  <si>
    <t>worden …opgehangen</t>
  </si>
  <si>
    <t>wat natuurlijk maar goed ook is</t>
  </si>
  <si>
    <t>gladde  vlasblonde haar</t>
  </si>
  <si>
    <t>ongekunstelde wereldwijsheden</t>
  </si>
  <si>
    <t>ontroerend</t>
  </si>
  <si>
    <t>die zijdezachte haardos</t>
  </si>
  <si>
    <t xml:space="preserve">glad </t>
  </si>
  <si>
    <t>gesoigneerd</t>
  </si>
  <si>
    <t>kinderlijk gekamd en schoon</t>
  </si>
  <si>
    <t>as… as … as</t>
  </si>
  <si>
    <t>even … even … even</t>
  </si>
  <si>
    <t>zo … zo … zo</t>
  </si>
  <si>
    <t>merkte</t>
  </si>
  <si>
    <t>opgedoken</t>
  </si>
  <si>
    <t>moord</t>
  </si>
  <si>
    <t>vastklampte aan de draad van zijn berekeningen</t>
  </si>
  <si>
    <t>werden zo meeslepend</t>
  </si>
  <si>
    <t>hem overviel</t>
  </si>
  <si>
    <t>haar volgende opmerking</t>
  </si>
  <si>
    <t>al wat minder</t>
  </si>
  <si>
    <t>vanbinnen gaf … gelijk</t>
  </si>
  <si>
    <t>gehaald</t>
  </si>
  <si>
    <t>openbare bibliotheek</t>
  </si>
  <si>
    <t>vrij</t>
  </si>
  <si>
    <t>kale</t>
  </si>
  <si>
    <t>meeslepend</t>
  </si>
  <si>
    <t>wat natuurlijk maar goed is</t>
  </si>
  <si>
    <t>gladde vlasblonde haar</t>
  </si>
  <si>
    <t>ongekunsteldewereldwijsheid</t>
  </si>
  <si>
    <t>dat kapje van zijdezacht haar</t>
  </si>
  <si>
    <t>zo… zo… zo</t>
  </si>
  <si>
    <t>ordelijk geschikt</t>
  </si>
  <si>
    <t xml:space="preserve">kinderlijk gekamd </t>
  </si>
  <si>
    <t>kinderlijk gekamd</t>
  </si>
  <si>
    <t>All CS</t>
  </si>
  <si>
    <t>Total</t>
  </si>
  <si>
    <t>Reproduction</t>
  </si>
  <si>
    <t>Kudos</t>
  </si>
  <si>
    <t>#Errorpoints</t>
  </si>
  <si>
    <t>Formula: (CS/UCP - ((ErrorPoints-Kudos)/WordsST)*100</t>
  </si>
  <si>
    <t>#Words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</si>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</sst>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FA1E-0AEE-43C9-99EE-02A6AED694C1}">
  <dimension ref="A1:H36"/>
  <sheetViews>
    <sheetView workbookViewId="0">
      <selection activeCell="C5" sqref="C5"/>
    </sheetView>
  </sheetViews>
  <sheetFormatPr defaultRowHeight="14.4" x14ac:dyDescent="0.3"/>
  <cols>
    <col min="1" max="1" width="32" style="1" customWidth="1"/>
    <col min="2" max="2" width="27.5546875" style="2" customWidth="1"/>
    <col min="3" max="3" width="25" customWidth="1"/>
    <col min="4" max="4" width="13.21875" customWidth="1"/>
    <col min="5" max="5" width="26.44140625" style="2" customWidth="1"/>
    <col min="6" max="6" width="15.88671875" customWidth="1"/>
    <col min="7" max="7" width="27.33203125" style="2" customWidth="1"/>
    <col min="8" max="8" width="14.88671875" customWidth="1"/>
  </cols>
  <sheetData>
    <row r="1" spans="1:8" ht="28.8" x14ac:dyDescent="0.3">
      <c r="A1" s="1" t="s">
        <v>0</v>
      </c>
      <c r="C1" t="s">
        <v>47</v>
      </c>
      <c r="D1" s="2" t="s">
        <v>45</v>
      </c>
      <c r="E1" s="2" t="s">
        <v>48</v>
      </c>
      <c r="F1" s="2" t="s">
        <v>45</v>
      </c>
      <c r="G1" s="2" t="s">
        <v>49</v>
      </c>
      <c r="H1" s="2" t="s">
        <v>45</v>
      </c>
    </row>
    <row r="2" spans="1:8" x14ac:dyDescent="0.3">
      <c r="A2" s="1" t="s">
        <v>1</v>
      </c>
    </row>
    <row r="3" spans="1:8" ht="43.2" x14ac:dyDescent="0.3">
      <c r="A3" s="3" t="s">
        <v>2</v>
      </c>
      <c r="B3" s="4" t="s">
        <v>3</v>
      </c>
      <c r="C3" s="6" t="s">
        <v>50</v>
      </c>
      <c r="D3" t="s">
        <v>84</v>
      </c>
      <c r="E3" s="6" t="s">
        <v>50</v>
      </c>
      <c r="F3" t="s">
        <v>84</v>
      </c>
      <c r="G3" s="2" t="s">
        <v>111</v>
      </c>
      <c r="H3" t="s">
        <v>84</v>
      </c>
    </row>
    <row r="4" spans="1:8" x14ac:dyDescent="0.3">
      <c r="A4" s="3"/>
      <c r="B4" s="4" t="s">
        <v>4</v>
      </c>
      <c r="C4" s="6" t="s">
        <v>51</v>
      </c>
      <c r="D4" t="s">
        <v>84</v>
      </c>
      <c r="E4" s="2" t="s">
        <v>4</v>
      </c>
      <c r="F4" t="s">
        <v>84</v>
      </c>
      <c r="G4" s="2" t="s">
        <v>4</v>
      </c>
      <c r="H4" t="s">
        <v>84</v>
      </c>
    </row>
    <row r="5" spans="1:8" x14ac:dyDescent="0.3">
      <c r="A5" s="3"/>
      <c r="B5" s="4" t="s">
        <v>5</v>
      </c>
      <c r="C5" s="6" t="s">
        <v>52</v>
      </c>
      <c r="D5" t="s">
        <v>84</v>
      </c>
      <c r="E5" s="2" t="s">
        <v>88</v>
      </c>
      <c r="F5" t="s">
        <v>85</v>
      </c>
      <c r="G5" s="2" t="s">
        <v>112</v>
      </c>
      <c r="H5" t="s">
        <v>84</v>
      </c>
    </row>
    <row r="6" spans="1:8" ht="28.8" x14ac:dyDescent="0.3">
      <c r="A6" s="5" t="s">
        <v>6</v>
      </c>
      <c r="B6" s="6" t="s">
        <v>53</v>
      </c>
      <c r="C6" s="6" t="s">
        <v>54</v>
      </c>
      <c r="D6" t="s">
        <v>85</v>
      </c>
      <c r="E6" s="2" t="s">
        <v>54</v>
      </c>
      <c r="F6" t="s">
        <v>85</v>
      </c>
      <c r="G6" s="2" t="s">
        <v>113</v>
      </c>
      <c r="H6" t="s">
        <v>84</v>
      </c>
    </row>
    <row r="7" spans="1:8" ht="28.8" x14ac:dyDescent="0.3">
      <c r="A7" s="5" t="s">
        <v>7</v>
      </c>
      <c r="B7" s="6" t="s">
        <v>8</v>
      </c>
      <c r="C7" s="6" t="s">
        <v>55</v>
      </c>
      <c r="D7" t="s">
        <v>86</v>
      </c>
      <c r="E7" s="2" t="s">
        <v>89</v>
      </c>
      <c r="F7" t="s">
        <v>84</v>
      </c>
      <c r="G7" s="2" t="s">
        <v>114</v>
      </c>
      <c r="H7" t="s">
        <v>84</v>
      </c>
    </row>
    <row r="8" spans="1:8" ht="43.2" x14ac:dyDescent="0.3">
      <c r="A8" s="5" t="s">
        <v>9</v>
      </c>
      <c r="B8" s="6" t="s">
        <v>10</v>
      </c>
      <c r="C8" s="6" t="s">
        <v>56</v>
      </c>
      <c r="D8" t="s">
        <v>86</v>
      </c>
      <c r="E8" s="2" t="s">
        <v>90</v>
      </c>
      <c r="F8" t="s">
        <v>84</v>
      </c>
      <c r="G8" s="2" t="s">
        <v>115</v>
      </c>
      <c r="H8" t="s">
        <v>84</v>
      </c>
    </row>
    <row r="9" spans="1:8" x14ac:dyDescent="0.3">
      <c r="A9" s="5"/>
      <c r="B9" s="6" t="s">
        <v>11</v>
      </c>
      <c r="C9" s="6" t="s">
        <v>57</v>
      </c>
      <c r="D9" t="s">
        <v>86</v>
      </c>
      <c r="E9" s="2" t="s">
        <v>57</v>
      </c>
      <c r="F9" t="s">
        <v>84</v>
      </c>
      <c r="G9" s="2" t="s">
        <v>117</v>
      </c>
      <c r="H9" t="s">
        <v>86</v>
      </c>
    </row>
    <row r="10" spans="1:8" x14ac:dyDescent="0.3">
      <c r="A10" s="5"/>
      <c r="B10" s="6" t="s">
        <v>12</v>
      </c>
      <c r="C10" s="6" t="s">
        <v>58</v>
      </c>
      <c r="D10" t="s">
        <v>86</v>
      </c>
      <c r="E10" s="2" t="s">
        <v>58</v>
      </c>
      <c r="F10" t="s">
        <v>86</v>
      </c>
      <c r="G10" s="2" t="s">
        <v>116</v>
      </c>
      <c r="H10" t="s">
        <v>84</v>
      </c>
    </row>
    <row r="11" spans="1:8" ht="28.8" x14ac:dyDescent="0.3">
      <c r="A11" s="5" t="s">
        <v>13</v>
      </c>
      <c r="B11" s="6" t="s">
        <v>14</v>
      </c>
      <c r="C11" s="6" t="s">
        <v>59</v>
      </c>
      <c r="D11" t="s">
        <v>84</v>
      </c>
      <c r="E11" s="2" t="s">
        <v>59</v>
      </c>
      <c r="F11" t="s">
        <v>84</v>
      </c>
      <c r="G11" s="2" t="s">
        <v>59</v>
      </c>
      <c r="H11" t="s">
        <v>84</v>
      </c>
    </row>
    <row r="12" spans="1:8" x14ac:dyDescent="0.3">
      <c r="A12" s="5"/>
      <c r="B12" s="6" t="s">
        <v>15</v>
      </c>
      <c r="C12" s="6" t="s">
        <v>60</v>
      </c>
      <c r="D12" t="s">
        <v>86</v>
      </c>
      <c r="E12" s="2" t="s">
        <v>91</v>
      </c>
      <c r="F12" t="s">
        <v>84</v>
      </c>
      <c r="G12" s="2" t="s">
        <v>118</v>
      </c>
      <c r="H12" t="s">
        <v>84</v>
      </c>
    </row>
    <row r="13" spans="1:8" x14ac:dyDescent="0.3">
      <c r="A13" s="3" t="s">
        <v>16</v>
      </c>
      <c r="B13" s="4" t="s">
        <v>17</v>
      </c>
      <c r="C13" s="6" t="s">
        <v>61</v>
      </c>
      <c r="D13" t="s">
        <v>86</v>
      </c>
      <c r="E13" s="2" t="s">
        <v>92</v>
      </c>
      <c r="F13" t="s">
        <v>84</v>
      </c>
      <c r="G13" s="2" t="s">
        <v>119</v>
      </c>
      <c r="H13" t="s">
        <v>84</v>
      </c>
    </row>
    <row r="14" spans="1:8" x14ac:dyDescent="0.3">
      <c r="A14" s="3"/>
      <c r="B14" s="4" t="s">
        <v>18</v>
      </c>
      <c r="C14" s="6" t="s">
        <v>18</v>
      </c>
      <c r="D14" t="s">
        <v>84</v>
      </c>
      <c r="E14" s="2" t="s">
        <v>18</v>
      </c>
      <c r="F14" t="s">
        <v>84</v>
      </c>
      <c r="G14" s="2" t="s">
        <v>18</v>
      </c>
      <c r="H14" t="s">
        <v>84</v>
      </c>
    </row>
    <row r="15" spans="1:8" ht="28.8" x14ac:dyDescent="0.3">
      <c r="A15" s="5" t="s">
        <v>19</v>
      </c>
      <c r="B15" s="6" t="s">
        <v>20</v>
      </c>
      <c r="C15" s="6" t="s">
        <v>62</v>
      </c>
      <c r="D15" t="s">
        <v>86</v>
      </c>
      <c r="E15" s="2" t="s">
        <v>93</v>
      </c>
      <c r="F15" t="s">
        <v>87</v>
      </c>
      <c r="G15" s="2" t="s">
        <v>93</v>
      </c>
      <c r="H15" t="s">
        <v>87</v>
      </c>
    </row>
    <row r="16" spans="1:8" ht="28.8" x14ac:dyDescent="0.3">
      <c r="A16" s="5" t="s">
        <v>21</v>
      </c>
      <c r="B16" s="6"/>
    </row>
    <row r="17" spans="1:8" x14ac:dyDescent="0.3">
      <c r="A17" s="5" t="s">
        <v>22</v>
      </c>
      <c r="B17" s="6" t="s">
        <v>23</v>
      </c>
      <c r="C17" s="7" t="s">
        <v>63</v>
      </c>
      <c r="D17" t="s">
        <v>85</v>
      </c>
      <c r="E17" s="2" t="s">
        <v>94</v>
      </c>
      <c r="F17" t="s">
        <v>84</v>
      </c>
      <c r="G17" s="2" t="s">
        <v>120</v>
      </c>
      <c r="H17" t="s">
        <v>84</v>
      </c>
    </row>
    <row r="18" spans="1:8" x14ac:dyDescent="0.3">
      <c r="A18" s="5"/>
      <c r="B18" s="6" t="s">
        <v>64</v>
      </c>
      <c r="C18" s="7" t="s">
        <v>65</v>
      </c>
      <c r="D18" t="s">
        <v>86</v>
      </c>
      <c r="E18" s="2" t="s">
        <v>65</v>
      </c>
      <c r="F18" t="s">
        <v>86</v>
      </c>
      <c r="G18" s="2" t="s">
        <v>121</v>
      </c>
      <c r="H18" t="s">
        <v>84</v>
      </c>
    </row>
    <row r="19" spans="1:8" x14ac:dyDescent="0.3">
      <c r="A19" s="5" t="s">
        <v>24</v>
      </c>
      <c r="B19" s="6"/>
    </row>
    <row r="20" spans="1:8" x14ac:dyDescent="0.3">
      <c r="A20" s="5" t="s">
        <v>25</v>
      </c>
      <c r="B20" s="6" t="s">
        <v>26</v>
      </c>
      <c r="C20" s="7" t="s">
        <v>66</v>
      </c>
      <c r="D20" t="s">
        <v>86</v>
      </c>
      <c r="E20" s="2" t="s">
        <v>95</v>
      </c>
      <c r="F20" t="s">
        <v>84</v>
      </c>
      <c r="G20" s="2" t="s">
        <v>122</v>
      </c>
      <c r="H20" t="s">
        <v>84</v>
      </c>
    </row>
    <row r="21" spans="1:8" x14ac:dyDescent="0.3">
      <c r="A21" s="5"/>
      <c r="B21" s="6" t="s">
        <v>27</v>
      </c>
      <c r="C21" s="7" t="s">
        <v>67</v>
      </c>
      <c r="D21" t="s">
        <v>84</v>
      </c>
      <c r="E21" s="2" t="s">
        <v>96</v>
      </c>
      <c r="F21" t="s">
        <v>87</v>
      </c>
      <c r="G21" s="2" t="s">
        <v>123</v>
      </c>
      <c r="H21" t="s">
        <v>84</v>
      </c>
    </row>
    <row r="22" spans="1:8" x14ac:dyDescent="0.3">
      <c r="A22" s="5" t="s">
        <v>28</v>
      </c>
      <c r="B22" s="6"/>
    </row>
    <row r="23" spans="1:8" x14ac:dyDescent="0.3">
      <c r="A23" s="5" t="s">
        <v>29</v>
      </c>
      <c r="B23" s="6" t="s">
        <v>30</v>
      </c>
      <c r="C23" s="7" t="s">
        <v>68</v>
      </c>
      <c r="D23" t="s">
        <v>86</v>
      </c>
      <c r="E23" s="2" t="s">
        <v>97</v>
      </c>
      <c r="F23" t="s">
        <v>86</v>
      </c>
      <c r="G23" s="2" t="s">
        <v>124</v>
      </c>
      <c r="H23" t="s">
        <v>84</v>
      </c>
    </row>
    <row r="24" spans="1:8" ht="28.8" x14ac:dyDescent="0.3">
      <c r="A24" s="5" t="s">
        <v>31</v>
      </c>
      <c r="B24" s="6" t="s">
        <v>15</v>
      </c>
      <c r="C24" s="7" t="s">
        <v>69</v>
      </c>
      <c r="D24" t="s">
        <v>84</v>
      </c>
      <c r="E24" s="2" t="s">
        <v>98</v>
      </c>
      <c r="F24" t="s">
        <v>84</v>
      </c>
      <c r="G24" s="2" t="s">
        <v>98</v>
      </c>
      <c r="H24" t="s">
        <v>84</v>
      </c>
    </row>
    <row r="25" spans="1:8" x14ac:dyDescent="0.3">
      <c r="A25" s="5" t="s">
        <v>32</v>
      </c>
      <c r="B25" s="6" t="s">
        <v>33</v>
      </c>
      <c r="C25" s="7" t="s">
        <v>70</v>
      </c>
      <c r="D25" t="s">
        <v>84</v>
      </c>
      <c r="E25" s="2" t="s">
        <v>70</v>
      </c>
      <c r="F25" t="s">
        <v>84</v>
      </c>
      <c r="G25" s="2" t="s">
        <v>70</v>
      </c>
      <c r="H25" t="s">
        <v>84</v>
      </c>
    </row>
    <row r="26" spans="1:8" x14ac:dyDescent="0.3">
      <c r="A26" s="5"/>
      <c r="B26" s="6" t="s">
        <v>34</v>
      </c>
      <c r="C26" s="7" t="s">
        <v>71</v>
      </c>
      <c r="D26" t="s">
        <v>84</v>
      </c>
      <c r="E26" s="2" t="s">
        <v>99</v>
      </c>
      <c r="F26" t="s">
        <v>84</v>
      </c>
      <c r="G26" s="2" t="s">
        <v>71</v>
      </c>
      <c r="H26" t="s">
        <v>84</v>
      </c>
    </row>
    <row r="27" spans="1:8" x14ac:dyDescent="0.3">
      <c r="A27" s="5" t="s">
        <v>35</v>
      </c>
      <c r="B27" s="6" t="s">
        <v>72</v>
      </c>
      <c r="C27" s="7" t="s">
        <v>73</v>
      </c>
      <c r="D27" s="8" t="s">
        <v>84</v>
      </c>
      <c r="E27" s="2" t="s">
        <v>100</v>
      </c>
      <c r="F27" t="s">
        <v>86</v>
      </c>
      <c r="G27" s="2" t="s">
        <v>125</v>
      </c>
      <c r="H27" t="s">
        <v>84</v>
      </c>
    </row>
    <row r="28" spans="1:8" ht="28.8" x14ac:dyDescent="0.3">
      <c r="A28" s="5" t="s">
        <v>36</v>
      </c>
      <c r="B28" s="6" t="s">
        <v>37</v>
      </c>
      <c r="C28" s="7" t="s">
        <v>74</v>
      </c>
      <c r="D28" t="s">
        <v>87</v>
      </c>
      <c r="E28" s="2" t="s">
        <v>101</v>
      </c>
      <c r="F28" t="s">
        <v>84</v>
      </c>
      <c r="G28" s="2" t="s">
        <v>126</v>
      </c>
      <c r="H28" t="s">
        <v>84</v>
      </c>
    </row>
    <row r="29" spans="1:8" ht="57.6" x14ac:dyDescent="0.3">
      <c r="A29" s="5" t="s">
        <v>38</v>
      </c>
      <c r="B29" s="6" t="s">
        <v>39</v>
      </c>
      <c r="C29" s="7" t="s">
        <v>75</v>
      </c>
      <c r="D29" t="s">
        <v>87</v>
      </c>
      <c r="E29" s="2" t="s">
        <v>102</v>
      </c>
      <c r="F29" t="s">
        <v>84</v>
      </c>
      <c r="G29" s="2" t="s">
        <v>127</v>
      </c>
      <c r="H29" t="s">
        <v>84</v>
      </c>
    </row>
    <row r="30" spans="1:8" x14ac:dyDescent="0.3">
      <c r="A30" s="5"/>
      <c r="B30" s="6" t="s">
        <v>40</v>
      </c>
      <c r="C30" s="7" t="s">
        <v>76</v>
      </c>
      <c r="D30" t="s">
        <v>85</v>
      </c>
      <c r="E30" s="2" t="s">
        <v>103</v>
      </c>
      <c r="F30" t="s">
        <v>84</v>
      </c>
      <c r="G30" s="2" t="s">
        <v>103</v>
      </c>
      <c r="H30" t="s">
        <v>84</v>
      </c>
    </row>
    <row r="31" spans="1:8" ht="72" x14ac:dyDescent="0.3">
      <c r="A31" s="5" t="s">
        <v>41</v>
      </c>
      <c r="B31" s="6" t="s">
        <v>77</v>
      </c>
      <c r="C31" s="7" t="s">
        <v>79</v>
      </c>
      <c r="D31" t="s">
        <v>86</v>
      </c>
      <c r="E31" s="2" t="s">
        <v>104</v>
      </c>
      <c r="F31" t="s">
        <v>85</v>
      </c>
      <c r="G31" s="2" t="s">
        <v>128</v>
      </c>
      <c r="H31" t="s">
        <v>84</v>
      </c>
    </row>
    <row r="32" spans="1:8" x14ac:dyDescent="0.3">
      <c r="A32" s="5"/>
      <c r="B32" s="6" t="s">
        <v>108</v>
      </c>
      <c r="C32" s="7" t="s">
        <v>109</v>
      </c>
      <c r="D32" t="s">
        <v>86</v>
      </c>
      <c r="E32" s="2" t="s">
        <v>110</v>
      </c>
      <c r="F32" t="s">
        <v>84</v>
      </c>
      <c r="G32" s="2" t="s">
        <v>129</v>
      </c>
      <c r="H32" t="s">
        <v>84</v>
      </c>
    </row>
    <row r="33" spans="2:8" x14ac:dyDescent="0.3">
      <c r="B33" s="2" t="s">
        <v>78</v>
      </c>
      <c r="C33" s="7" t="s">
        <v>80</v>
      </c>
      <c r="D33" t="s">
        <v>86</v>
      </c>
      <c r="E33" s="2" t="s">
        <v>105</v>
      </c>
      <c r="F33" t="s">
        <v>84</v>
      </c>
      <c r="G33" s="2" t="s">
        <v>105</v>
      </c>
      <c r="H33" t="s">
        <v>84</v>
      </c>
    </row>
    <row r="34" spans="2:8" x14ac:dyDescent="0.3">
      <c r="B34" s="2" t="s">
        <v>42</v>
      </c>
      <c r="C34" s="7" t="s">
        <v>81</v>
      </c>
      <c r="D34" t="s">
        <v>86</v>
      </c>
      <c r="E34" s="2" t="s">
        <v>106</v>
      </c>
      <c r="F34" t="s">
        <v>86</v>
      </c>
      <c r="G34" s="2" t="s">
        <v>130</v>
      </c>
      <c r="H34" t="s">
        <v>84</v>
      </c>
    </row>
    <row r="35" spans="2:8" x14ac:dyDescent="0.3">
      <c r="B35" s="2" t="s">
        <v>43</v>
      </c>
      <c r="C35" s="7" t="s">
        <v>82</v>
      </c>
      <c r="D35" t="s">
        <v>84</v>
      </c>
      <c r="E35" s="2" t="s">
        <v>107</v>
      </c>
      <c r="F35" t="s">
        <v>84</v>
      </c>
      <c r="G35" s="2" t="s">
        <v>107</v>
      </c>
      <c r="H35" t="s">
        <v>84</v>
      </c>
    </row>
    <row r="36" spans="2:8" x14ac:dyDescent="0.3">
      <c r="B36" s="2" t="s">
        <v>44</v>
      </c>
      <c r="C36" t="s">
        <v>83</v>
      </c>
      <c r="D36" t="s">
        <v>84</v>
      </c>
      <c r="E36" s="2" t="s">
        <v>132</v>
      </c>
      <c r="F36" t="s">
        <v>84</v>
      </c>
      <c r="G36" s="2" t="s">
        <v>131</v>
      </c>
      <c r="H3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7134-0FAC-4C91-9594-8D2C891A5DEB}">
  <dimension ref="A2:D9"/>
  <sheetViews>
    <sheetView workbookViewId="0">
      <selection sqref="A1:D9"/>
    </sheetView>
  </sheetViews>
  <sheetFormatPr defaultRowHeight="14.4" x14ac:dyDescent="0.3"/>
  <sheetData>
    <row r="2" spans="1:4" x14ac:dyDescent="0.3">
      <c r="B2" t="s">
        <v>47</v>
      </c>
      <c r="C2" t="s">
        <v>48</v>
      </c>
      <c r="D2" t="s">
        <v>49</v>
      </c>
    </row>
    <row r="3" spans="1:4" x14ac:dyDescent="0.3">
      <c r="A3" t="s">
        <v>86</v>
      </c>
      <c r="B3">
        <f>COUNTIF(Sheet1!$D$2:$D$36, "CSM")</f>
        <v>14</v>
      </c>
      <c r="C3">
        <f>COUNTIF(Sheet1!$F$2:$F$36, "CSM")</f>
        <v>5</v>
      </c>
      <c r="D3">
        <f>COUNTIF(Sheet1!$H$2:$H$36, "CSM")</f>
        <v>1</v>
      </c>
    </row>
    <row r="4" spans="1:4" x14ac:dyDescent="0.3">
      <c r="A4" t="s">
        <v>87</v>
      </c>
      <c r="B4">
        <f>COUNTIF(Sheet1!$D$2:$D$36, "CSA")</f>
        <v>2</v>
      </c>
      <c r="C4">
        <f>COUNTIF(Sheet1!$F$2:$F$36, "CSA")</f>
        <v>2</v>
      </c>
      <c r="D4">
        <f>COUNTIF(Sheet1!$H$2:$H$36, "CSA")</f>
        <v>1</v>
      </c>
    </row>
    <row r="5" spans="1:4" x14ac:dyDescent="0.3">
      <c r="A5" t="s">
        <v>85</v>
      </c>
      <c r="B5">
        <f>COUNTIF(Sheet1!$D$2:$D$36, "CSC")</f>
        <v>3</v>
      </c>
      <c r="C5">
        <f>COUNTIF(Sheet1!$F$2:$F$36, "CSC")</f>
        <v>3</v>
      </c>
      <c r="D5">
        <f>COUNTIF(Sheet1!$H$2:$H$36, "CSC")</f>
        <v>0</v>
      </c>
    </row>
    <row r="6" spans="1:4" x14ac:dyDescent="0.3">
      <c r="A6" t="s">
        <v>133</v>
      </c>
      <c r="B6">
        <f>SUM(B3:B5)</f>
        <v>19</v>
      </c>
      <c r="C6">
        <f>SUM(C3:C5)</f>
        <v>10</v>
      </c>
      <c r="D6">
        <f>SUM(D3:D5)</f>
        <v>2</v>
      </c>
    </row>
    <row r="7" spans="1:4" x14ac:dyDescent="0.3">
      <c r="A7" t="s">
        <v>135</v>
      </c>
      <c r="B7">
        <f>COUNTIF(Sheet1!$D$2:$D$36, "R")</f>
        <v>12</v>
      </c>
      <c r="C7">
        <f>COUNTIF(Sheet1!$F$2:$F$36, "R")</f>
        <v>21</v>
      </c>
      <c r="D7">
        <f>COUNTIF(Sheet1!$H$2:$H$36, "R")</f>
        <v>29</v>
      </c>
    </row>
    <row r="9" spans="1:4" x14ac:dyDescent="0.3">
      <c r="A9" s="9" t="s">
        <v>134</v>
      </c>
      <c r="B9">
        <f>SUM(B6:B7)</f>
        <v>31</v>
      </c>
      <c r="C9">
        <f>SUM(C6:C7)</f>
        <v>31</v>
      </c>
      <c r="D9">
        <f>SUM(D6:D7)</f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3FDD-C346-4808-938D-49A983CA39C0}">
  <dimension ref="A1:H30"/>
  <sheetViews>
    <sheetView tabSelected="1" topLeftCell="A13" zoomScale="91" workbookViewId="0">
      <pane xSplit="1" topLeftCell="B1" activePane="topRight" state="frozen"/>
      <selection pane="topRight" activeCell="B26" sqref="B26"/>
    </sheetView>
  </sheetViews>
  <sheetFormatPr defaultRowHeight="14.4" x14ac:dyDescent="0.3"/>
  <cols>
    <col min="1" max="1" width="32" style="1" customWidth="1"/>
    <col min="2" max="2" width="27.5546875" style="2" customWidth="1"/>
    <col min="3" max="3" width="25" customWidth="1"/>
    <col min="4" max="4" width="13.21875" customWidth="1"/>
    <col min="5" max="5" width="26.44140625" style="2" customWidth="1"/>
    <col min="6" max="6" width="15.88671875" customWidth="1"/>
    <col min="7" max="7" width="27.33203125" style="2" customWidth="1"/>
    <col min="8" max="8" width="14.88671875" customWidth="1"/>
  </cols>
  <sheetData>
    <row r="1" spans="1:8" ht="28.8" x14ac:dyDescent="0.3">
      <c r="A1" s="1" t="s">
        <v>0</v>
      </c>
      <c r="C1" t="s">
        <v>47</v>
      </c>
      <c r="D1" s="2" t="s">
        <v>45</v>
      </c>
      <c r="E1" s="2" t="s">
        <v>48</v>
      </c>
      <c r="F1" s="2" t="s">
        <v>45</v>
      </c>
      <c r="G1" s="2" t="s">
        <v>49</v>
      </c>
      <c r="H1" s="2" t="s">
        <v>45</v>
      </c>
    </row>
    <row r="2" spans="1:8" x14ac:dyDescent="0.3">
      <c r="A2" s="1" t="s">
        <v>1</v>
      </c>
    </row>
    <row r="3" spans="1:8" ht="43.2" x14ac:dyDescent="0.3">
      <c r="A3" s="3" t="s">
        <v>2</v>
      </c>
      <c r="B3" s="4" t="s">
        <v>5</v>
      </c>
      <c r="C3" s="6" t="s">
        <v>52</v>
      </c>
      <c r="D3" t="s">
        <v>84</v>
      </c>
      <c r="E3" s="2" t="s">
        <v>88</v>
      </c>
      <c r="F3" t="s">
        <v>85</v>
      </c>
      <c r="G3" s="2" t="s">
        <v>112</v>
      </c>
      <c r="H3" t="s">
        <v>84</v>
      </c>
    </row>
    <row r="4" spans="1:8" ht="28.8" x14ac:dyDescent="0.3">
      <c r="A4" s="5" t="s">
        <v>6</v>
      </c>
      <c r="B4" s="6" t="s">
        <v>53</v>
      </c>
      <c r="C4" s="6" t="s">
        <v>54</v>
      </c>
      <c r="D4" t="s">
        <v>85</v>
      </c>
      <c r="E4" s="2" t="s">
        <v>54</v>
      </c>
      <c r="F4" t="s">
        <v>85</v>
      </c>
      <c r="G4" s="2" t="s">
        <v>113</v>
      </c>
      <c r="H4" t="s">
        <v>84</v>
      </c>
    </row>
    <row r="5" spans="1:8" ht="28.8" x14ac:dyDescent="0.3">
      <c r="A5" s="5" t="s">
        <v>7</v>
      </c>
      <c r="B5" s="6" t="s">
        <v>8</v>
      </c>
      <c r="C5" s="6" t="s">
        <v>55</v>
      </c>
      <c r="D5" t="s">
        <v>86</v>
      </c>
      <c r="E5" s="2" t="s">
        <v>89</v>
      </c>
      <c r="F5" t="s">
        <v>84</v>
      </c>
      <c r="G5" s="2" t="s">
        <v>114</v>
      </c>
      <c r="H5" t="s">
        <v>84</v>
      </c>
    </row>
    <row r="6" spans="1:8" ht="43.2" x14ac:dyDescent="0.3">
      <c r="A6" s="5" t="s">
        <v>9</v>
      </c>
      <c r="B6" s="6" t="s">
        <v>10</v>
      </c>
      <c r="C6" s="6" t="s">
        <v>56</v>
      </c>
      <c r="D6" t="s">
        <v>86</v>
      </c>
      <c r="E6" s="2" t="s">
        <v>90</v>
      </c>
      <c r="F6" t="s">
        <v>84</v>
      </c>
      <c r="G6" s="2" t="s">
        <v>115</v>
      </c>
      <c r="H6" t="s">
        <v>84</v>
      </c>
    </row>
    <row r="7" spans="1:8" x14ac:dyDescent="0.3">
      <c r="A7" s="5"/>
      <c r="B7" s="6" t="s">
        <v>11</v>
      </c>
      <c r="C7" s="6" t="s">
        <v>57</v>
      </c>
      <c r="D7" t="s">
        <v>86</v>
      </c>
      <c r="E7" s="2" t="s">
        <v>57</v>
      </c>
      <c r="F7" t="s">
        <v>84</v>
      </c>
      <c r="G7" s="2" t="s">
        <v>117</v>
      </c>
      <c r="H7" t="s">
        <v>86</v>
      </c>
    </row>
    <row r="8" spans="1:8" x14ac:dyDescent="0.3">
      <c r="A8" s="5"/>
      <c r="B8" s="6" t="s">
        <v>12</v>
      </c>
      <c r="C8" s="6" t="s">
        <v>58</v>
      </c>
      <c r="D8" t="s">
        <v>86</v>
      </c>
      <c r="E8" s="2" t="s">
        <v>58</v>
      </c>
      <c r="F8" t="s">
        <v>86</v>
      </c>
      <c r="G8" s="2" t="s">
        <v>116</v>
      </c>
      <c r="H8" t="s">
        <v>84</v>
      </c>
    </row>
    <row r="9" spans="1:8" ht="28.8" x14ac:dyDescent="0.3">
      <c r="A9" s="5" t="s">
        <v>13</v>
      </c>
      <c r="B9" s="6" t="s">
        <v>15</v>
      </c>
      <c r="C9" s="6" t="s">
        <v>60</v>
      </c>
      <c r="D9" t="s">
        <v>86</v>
      </c>
      <c r="E9" s="2" t="s">
        <v>91</v>
      </c>
      <c r="F9" t="s">
        <v>84</v>
      </c>
      <c r="G9" s="2" t="s">
        <v>118</v>
      </c>
      <c r="H9" t="s">
        <v>84</v>
      </c>
    </row>
    <row r="10" spans="1:8" x14ac:dyDescent="0.3">
      <c r="A10" s="3" t="s">
        <v>16</v>
      </c>
      <c r="B10" s="4" t="s">
        <v>17</v>
      </c>
      <c r="C10" s="6" t="s">
        <v>61</v>
      </c>
      <c r="D10" t="s">
        <v>86</v>
      </c>
      <c r="E10" s="2" t="s">
        <v>92</v>
      </c>
      <c r="F10" t="s">
        <v>84</v>
      </c>
      <c r="G10" s="2" t="s">
        <v>119</v>
      </c>
      <c r="H10" t="s">
        <v>84</v>
      </c>
    </row>
    <row r="11" spans="1:8" ht="28.8" x14ac:dyDescent="0.3">
      <c r="A11" s="5" t="s">
        <v>19</v>
      </c>
      <c r="B11" s="6" t="s">
        <v>20</v>
      </c>
      <c r="C11" s="6" t="s">
        <v>62</v>
      </c>
      <c r="D11" t="s">
        <v>86</v>
      </c>
      <c r="E11" s="2" t="s">
        <v>93</v>
      </c>
      <c r="F11" t="s">
        <v>87</v>
      </c>
      <c r="G11" s="2" t="s">
        <v>93</v>
      </c>
      <c r="H11" t="s">
        <v>87</v>
      </c>
    </row>
    <row r="12" spans="1:8" ht="28.8" x14ac:dyDescent="0.3">
      <c r="A12" s="5" t="s">
        <v>21</v>
      </c>
      <c r="B12" s="6"/>
    </row>
    <row r="13" spans="1:8" x14ac:dyDescent="0.3">
      <c r="A13" s="5" t="s">
        <v>22</v>
      </c>
      <c r="B13" s="6" t="s">
        <v>23</v>
      </c>
      <c r="C13" s="7" t="s">
        <v>63</v>
      </c>
      <c r="D13" t="s">
        <v>85</v>
      </c>
      <c r="E13" s="2" t="s">
        <v>94</v>
      </c>
      <c r="F13" t="s">
        <v>84</v>
      </c>
      <c r="G13" s="2" t="s">
        <v>120</v>
      </c>
      <c r="H13" t="s">
        <v>84</v>
      </c>
    </row>
    <row r="14" spans="1:8" x14ac:dyDescent="0.3">
      <c r="A14" s="5"/>
      <c r="B14" s="6" t="s">
        <v>64</v>
      </c>
      <c r="C14" s="7" t="s">
        <v>65</v>
      </c>
      <c r="D14" t="s">
        <v>86</v>
      </c>
      <c r="E14" s="2" t="s">
        <v>65</v>
      </c>
      <c r="F14" t="s">
        <v>86</v>
      </c>
      <c r="G14" s="2" t="s">
        <v>121</v>
      </c>
      <c r="H14" t="s">
        <v>84</v>
      </c>
    </row>
    <row r="15" spans="1:8" x14ac:dyDescent="0.3">
      <c r="A15" s="5" t="s">
        <v>24</v>
      </c>
      <c r="B15" s="6"/>
    </row>
    <row r="16" spans="1:8" x14ac:dyDescent="0.3">
      <c r="A16" s="5" t="s">
        <v>25</v>
      </c>
      <c r="B16" s="6" t="s">
        <v>26</v>
      </c>
      <c r="C16" s="7" t="s">
        <v>66</v>
      </c>
      <c r="D16" t="s">
        <v>86</v>
      </c>
      <c r="E16" s="2" t="s">
        <v>95</v>
      </c>
      <c r="F16" t="s">
        <v>84</v>
      </c>
      <c r="G16" s="2" t="s">
        <v>122</v>
      </c>
      <c r="H16" t="s">
        <v>84</v>
      </c>
    </row>
    <row r="17" spans="1:8" x14ac:dyDescent="0.3">
      <c r="A17" s="5"/>
      <c r="B17" s="6" t="s">
        <v>27</v>
      </c>
      <c r="C17" s="7" t="s">
        <v>67</v>
      </c>
      <c r="D17" t="s">
        <v>84</v>
      </c>
      <c r="E17" s="2" t="s">
        <v>96</v>
      </c>
      <c r="F17" t="s">
        <v>87</v>
      </c>
      <c r="G17" s="2" t="s">
        <v>123</v>
      </c>
      <c r="H17" t="s">
        <v>84</v>
      </c>
    </row>
    <row r="18" spans="1:8" x14ac:dyDescent="0.3">
      <c r="A18" s="5" t="s">
        <v>28</v>
      </c>
      <c r="B18" s="6"/>
    </row>
    <row r="19" spans="1:8" x14ac:dyDescent="0.3">
      <c r="A19" s="5" t="s">
        <v>29</v>
      </c>
      <c r="B19" s="6" t="s">
        <v>30</v>
      </c>
      <c r="C19" s="7" t="s">
        <v>68</v>
      </c>
      <c r="D19" t="s">
        <v>86</v>
      </c>
      <c r="E19" s="2" t="s">
        <v>97</v>
      </c>
      <c r="F19" t="s">
        <v>86</v>
      </c>
      <c r="G19" s="2" t="s">
        <v>124</v>
      </c>
      <c r="H19" t="s">
        <v>84</v>
      </c>
    </row>
    <row r="20" spans="1:8" ht="28.8" x14ac:dyDescent="0.3">
      <c r="A20" s="5" t="s">
        <v>31</v>
      </c>
      <c r="B20" s="6"/>
      <c r="C20" s="7"/>
    </row>
    <row r="21" spans="1:8" x14ac:dyDescent="0.3">
      <c r="A21" s="5" t="s">
        <v>32</v>
      </c>
      <c r="B21" s="6"/>
      <c r="C21" s="7"/>
    </row>
    <row r="22" spans="1:8" x14ac:dyDescent="0.3">
      <c r="A22" s="5" t="s">
        <v>35</v>
      </c>
      <c r="B22" s="6" t="s">
        <v>72</v>
      </c>
      <c r="C22" s="7" t="s">
        <v>73</v>
      </c>
      <c r="D22" s="8" t="s">
        <v>84</v>
      </c>
      <c r="E22" s="2" t="s">
        <v>100</v>
      </c>
      <c r="F22" t="s">
        <v>86</v>
      </c>
      <c r="G22" s="2" t="s">
        <v>125</v>
      </c>
      <c r="H22" t="s">
        <v>84</v>
      </c>
    </row>
    <row r="23" spans="1:8" ht="28.8" x14ac:dyDescent="0.3">
      <c r="A23" s="5" t="s">
        <v>36</v>
      </c>
      <c r="B23" s="6" t="s">
        <v>37</v>
      </c>
      <c r="C23" s="7" t="s">
        <v>74</v>
      </c>
      <c r="D23" t="s">
        <v>87</v>
      </c>
      <c r="E23" s="2" t="s">
        <v>101</v>
      </c>
      <c r="F23" t="s">
        <v>84</v>
      </c>
      <c r="G23" s="2" t="s">
        <v>126</v>
      </c>
      <c r="H23" t="s">
        <v>84</v>
      </c>
    </row>
    <row r="24" spans="1:8" ht="57.6" x14ac:dyDescent="0.3">
      <c r="A24" s="5" t="s">
        <v>38</v>
      </c>
      <c r="B24" s="6" t="s">
        <v>39</v>
      </c>
      <c r="C24" s="7" t="s">
        <v>75</v>
      </c>
      <c r="D24" t="s">
        <v>87</v>
      </c>
      <c r="E24" s="2" t="s">
        <v>102</v>
      </c>
      <c r="F24" t="s">
        <v>84</v>
      </c>
      <c r="G24" s="2" t="s">
        <v>127</v>
      </c>
      <c r="H24" t="s">
        <v>84</v>
      </c>
    </row>
    <row r="25" spans="1:8" x14ac:dyDescent="0.3">
      <c r="A25" s="5"/>
      <c r="B25" s="6" t="s">
        <v>40</v>
      </c>
      <c r="C25" s="7" t="s">
        <v>76</v>
      </c>
      <c r="D25" t="s">
        <v>85</v>
      </c>
      <c r="E25" s="2" t="s">
        <v>103</v>
      </c>
      <c r="F25" t="s">
        <v>84</v>
      </c>
      <c r="G25" s="2" t="s">
        <v>103</v>
      </c>
      <c r="H25" t="s">
        <v>84</v>
      </c>
    </row>
    <row r="26" spans="1:8" ht="72" x14ac:dyDescent="0.3">
      <c r="A26" s="5" t="s">
        <v>41</v>
      </c>
      <c r="B26" s="6" t="s">
        <v>77</v>
      </c>
      <c r="C26" s="7" t="s">
        <v>79</v>
      </c>
      <c r="D26" t="s">
        <v>86</v>
      </c>
      <c r="E26" s="2" t="s">
        <v>104</v>
      </c>
      <c r="F26" t="s">
        <v>85</v>
      </c>
      <c r="G26" s="2" t="s">
        <v>128</v>
      </c>
      <c r="H26" t="s">
        <v>84</v>
      </c>
    </row>
    <row r="27" spans="1:8" x14ac:dyDescent="0.3">
      <c r="A27" s="5"/>
      <c r="B27" s="6" t="s">
        <v>108</v>
      </c>
      <c r="C27" s="7" t="s">
        <v>109</v>
      </c>
      <c r="D27" t="s">
        <v>86</v>
      </c>
      <c r="E27" s="2" t="s">
        <v>110</v>
      </c>
      <c r="F27" t="s">
        <v>84</v>
      </c>
      <c r="G27" s="2" t="s">
        <v>129</v>
      </c>
      <c r="H27" t="s">
        <v>84</v>
      </c>
    </row>
    <row r="28" spans="1:8" x14ac:dyDescent="0.3">
      <c r="B28" s="2" t="s">
        <v>78</v>
      </c>
      <c r="C28" s="7" t="s">
        <v>80</v>
      </c>
      <c r="D28" t="s">
        <v>86</v>
      </c>
      <c r="E28" s="2" t="s">
        <v>105</v>
      </c>
      <c r="F28" t="s">
        <v>84</v>
      </c>
      <c r="G28" s="2" t="s">
        <v>105</v>
      </c>
      <c r="H28" t="s">
        <v>84</v>
      </c>
    </row>
    <row r="29" spans="1:8" x14ac:dyDescent="0.3">
      <c r="B29" s="2" t="s">
        <v>42</v>
      </c>
      <c r="C29" s="7" t="s">
        <v>81</v>
      </c>
      <c r="D29" t="s">
        <v>86</v>
      </c>
      <c r="E29" s="2" t="s">
        <v>106</v>
      </c>
      <c r="F29" t="s">
        <v>86</v>
      </c>
      <c r="G29" s="2" t="s">
        <v>130</v>
      </c>
      <c r="H29" t="s">
        <v>84</v>
      </c>
    </row>
    <row r="30" spans="1:8" x14ac:dyDescent="0.3">
      <c r="B30" s="2" t="s">
        <v>43</v>
      </c>
      <c r="C30" s="7" t="s">
        <v>82</v>
      </c>
      <c r="D30" t="s">
        <v>84</v>
      </c>
      <c r="E30" s="2" t="s">
        <v>107</v>
      </c>
      <c r="F30" t="s">
        <v>84</v>
      </c>
      <c r="G30" s="2" t="s">
        <v>107</v>
      </c>
      <c r="H30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417D-80E7-482C-AA99-6B1456AD2014}">
  <dimension ref="A1:D15"/>
  <sheetViews>
    <sheetView workbookViewId="0">
      <selection activeCell="D13" sqref="D13"/>
    </sheetView>
  </sheetViews>
  <sheetFormatPr defaultRowHeight="14.4" x14ac:dyDescent="0.3"/>
  <sheetData>
    <row r="1" spans="1:4" x14ac:dyDescent="0.3">
      <c r="B1" t="s">
        <v>47</v>
      </c>
      <c r="C1" t="s">
        <v>48</v>
      </c>
      <c r="D1" t="s">
        <v>49</v>
      </c>
    </row>
    <row r="2" spans="1:4" x14ac:dyDescent="0.3">
      <c r="A2" t="s">
        <v>86</v>
      </c>
      <c r="B2">
        <f>COUNTIF(Sheet6!$D$2:$D$34, "CSM")</f>
        <v>14</v>
      </c>
      <c r="C2">
        <f>COUNTIF(Sheet6!$F$2:$F$34, "CSM")</f>
        <v>5</v>
      </c>
      <c r="D2">
        <f>COUNTIF(Sheet6!$H$2:$H$34, "CSM")</f>
        <v>1</v>
      </c>
    </row>
    <row r="3" spans="1:4" x14ac:dyDescent="0.3">
      <c r="A3" t="s">
        <v>87</v>
      </c>
      <c r="B3">
        <f>COUNTIF(Sheet6!$D$2:$D$34, "CSA")</f>
        <v>2</v>
      </c>
      <c r="C3">
        <f>COUNTIF(Sheet6!$F$2:$F$34, "CSA")</f>
        <v>2</v>
      </c>
      <c r="D3">
        <f>COUNTIF(Sheet6!$H$2:$H$34, "CSA")</f>
        <v>1</v>
      </c>
    </row>
    <row r="4" spans="1:4" x14ac:dyDescent="0.3">
      <c r="A4" t="s">
        <v>85</v>
      </c>
      <c r="B4">
        <f>COUNTIF(Sheet6!$D$2:$D$34, "CSC")</f>
        <v>3</v>
      </c>
      <c r="C4">
        <f>COUNTIF(Sheet6!$F$2:$F$34, "CSC")</f>
        <v>3</v>
      </c>
      <c r="D4">
        <f>COUNTIF(Sheet6!$H$2:$H$34, "CSC")</f>
        <v>0</v>
      </c>
    </row>
    <row r="5" spans="1:4" x14ac:dyDescent="0.3">
      <c r="A5" t="s">
        <v>133</v>
      </c>
      <c r="B5">
        <f>SUM(B2:B4)</f>
        <v>19</v>
      </c>
      <c r="C5">
        <f>SUM(C2:C4)</f>
        <v>10</v>
      </c>
      <c r="D5">
        <f>SUM(D2:D4)</f>
        <v>2</v>
      </c>
    </row>
    <row r="6" spans="1:4" x14ac:dyDescent="0.3">
      <c r="A6" t="s">
        <v>135</v>
      </c>
      <c r="B6">
        <f>COUNTIF(Sheet6!$D$2:$D$34, "R")</f>
        <v>4</v>
      </c>
      <c r="C6">
        <f>COUNTIF(Sheet6!$F$2:$F$34, "R")</f>
        <v>13</v>
      </c>
      <c r="D6">
        <f>COUNTIF(Sheet6!$H$2:$H$34, "R")</f>
        <v>21</v>
      </c>
    </row>
    <row r="8" spans="1:4" x14ac:dyDescent="0.3">
      <c r="A8" s="9" t="s">
        <v>134</v>
      </c>
      <c r="B8">
        <f>SUM(B5:B6)</f>
        <v>23</v>
      </c>
      <c r="C8">
        <f>SUM(C5:C6)</f>
        <v>23</v>
      </c>
      <c r="D8">
        <f>SUM(D5:D6)</f>
        <v>23</v>
      </c>
    </row>
    <row r="10" spans="1:4" x14ac:dyDescent="0.3">
      <c r="A10" t="s">
        <v>46</v>
      </c>
      <c r="B10">
        <v>4</v>
      </c>
      <c r="C10">
        <v>4</v>
      </c>
      <c r="D10">
        <v>17</v>
      </c>
    </row>
    <row r="11" spans="1:4" x14ac:dyDescent="0.3">
      <c r="A11" t="s">
        <v>137</v>
      </c>
      <c r="B11">
        <v>8</v>
      </c>
      <c r="C11">
        <v>4</v>
      </c>
      <c r="D11">
        <v>109</v>
      </c>
    </row>
    <row r="12" spans="1:4" x14ac:dyDescent="0.3">
      <c r="A12" t="s">
        <v>136</v>
      </c>
      <c r="B12">
        <v>3</v>
      </c>
      <c r="C12">
        <v>2</v>
      </c>
      <c r="D12">
        <v>1</v>
      </c>
    </row>
    <row r="13" spans="1:4" x14ac:dyDescent="0.3">
      <c r="A13" t="s">
        <v>139</v>
      </c>
      <c r="B13">
        <v>190</v>
      </c>
      <c r="C13">
        <v>190</v>
      </c>
      <c r="D13">
        <v>190</v>
      </c>
    </row>
    <row r="15" spans="1:4" x14ac:dyDescent="0.3">
      <c r="A15" s="9" t="s">
        <v>140</v>
      </c>
      <c r="B15">
        <f>((B5/B8)-((B11-B12)/B13))*100</f>
        <v>79.977116704805496</v>
      </c>
      <c r="C15">
        <f t="shared" ref="C15:D15" si="0">((C5/C8)-((C11-C12)/C13))*100</f>
        <v>42.425629290617849</v>
      </c>
      <c r="D15">
        <f t="shared" si="0"/>
        <v>-48.146453089244851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E033-176F-4362-AA59-6E7375FA2CA7}">
  <dimension ref="A2:G16"/>
  <sheetViews>
    <sheetView workbookViewId="0">
      <selection activeCell="A2" sqref="A2:D16"/>
    </sheetView>
  </sheetViews>
  <sheetFormatPr defaultRowHeight="14.4" x14ac:dyDescent="0.3"/>
  <sheetData>
    <row r="2" spans="1:7" x14ac:dyDescent="0.3">
      <c r="B2" t="s">
        <v>47</v>
      </c>
      <c r="C2" t="s">
        <v>48</v>
      </c>
      <c r="D2" t="s">
        <v>49</v>
      </c>
      <c r="G2" t="s">
        <v>138</v>
      </c>
    </row>
    <row r="3" spans="1:7" x14ac:dyDescent="0.3">
      <c r="A3" t="s">
        <v>86</v>
      </c>
      <c r="B3">
        <f>COUNTIF(Sheet6!$D$2:$D$34, "CSM")</f>
        <v>14</v>
      </c>
      <c r="C3">
        <f>COUNTIF(Sheet6!$F$2:$F$34, "CSM")</f>
        <v>5</v>
      </c>
      <c r="D3">
        <f>COUNTIF(Sheet6!$H$2:$H$34, "CSM")</f>
        <v>1</v>
      </c>
    </row>
    <row r="4" spans="1:7" x14ac:dyDescent="0.3">
      <c r="A4" t="s">
        <v>87</v>
      </c>
      <c r="B4">
        <f>COUNTIF(Sheet6!$D$2:$D$34, "CSA")</f>
        <v>2</v>
      </c>
      <c r="C4">
        <f>COUNTIF(Sheet6!$F$2:$F$34, "CSA")</f>
        <v>2</v>
      </c>
      <c r="D4">
        <f>COUNTIF(Sheet6!$H$2:$H$34, "CSA")</f>
        <v>1</v>
      </c>
    </row>
    <row r="5" spans="1:7" x14ac:dyDescent="0.3">
      <c r="A5" t="s">
        <v>85</v>
      </c>
      <c r="B5">
        <f>COUNTIF(Sheet6!$D$2:$D$34, "CSC")</f>
        <v>3</v>
      </c>
      <c r="C5">
        <f>COUNTIF(Sheet6!$F$2:$F$34, "CSC")</f>
        <v>3</v>
      </c>
      <c r="D5">
        <f>COUNTIF(Sheet6!$H$2:$H$34, "CSC")</f>
        <v>0</v>
      </c>
    </row>
    <row r="6" spans="1:7" x14ac:dyDescent="0.3">
      <c r="A6" t="s">
        <v>133</v>
      </c>
      <c r="B6">
        <f>SUM(B3:B5)</f>
        <v>19</v>
      </c>
      <c r="C6">
        <f>SUM(C3:C5)</f>
        <v>10</v>
      </c>
      <c r="D6">
        <f>SUM(D3:D5)</f>
        <v>2</v>
      </c>
    </row>
    <row r="7" spans="1:7" x14ac:dyDescent="0.3">
      <c r="A7" t="s">
        <v>135</v>
      </c>
      <c r="B7">
        <f>COUNTIF(Sheet6!$D$2:$D$34, "R")</f>
        <v>4</v>
      </c>
      <c r="C7">
        <f>COUNTIF(Sheet6!$F$2:$F$34, "R")</f>
        <v>13</v>
      </c>
      <c r="D7">
        <f>COUNTIF(Sheet6!$H$2:$H$34, "R")</f>
        <v>21</v>
      </c>
    </row>
    <row r="9" spans="1:7" x14ac:dyDescent="0.3">
      <c r="A9" s="9" t="s">
        <v>134</v>
      </c>
      <c r="B9">
        <f>SUM(B6:B7)</f>
        <v>23</v>
      </c>
      <c r="C9">
        <f>SUM(C6:C7)</f>
        <v>23</v>
      </c>
      <c r="D9">
        <f>SUM(D6:D7)</f>
        <v>23</v>
      </c>
    </row>
    <row r="11" spans="1:7" x14ac:dyDescent="0.3">
      <c r="A11" t="s">
        <v>46</v>
      </c>
      <c r="B11">
        <v>3</v>
      </c>
      <c r="C11">
        <v>6</v>
      </c>
      <c r="D11">
        <v>20</v>
      </c>
    </row>
    <row r="12" spans="1:7" x14ac:dyDescent="0.3">
      <c r="A12" t="s">
        <v>137</v>
      </c>
      <c r="B12">
        <v>3</v>
      </c>
      <c r="C12">
        <v>6</v>
      </c>
      <c r="D12">
        <v>20</v>
      </c>
    </row>
    <row r="13" spans="1:7" x14ac:dyDescent="0.3">
      <c r="A13" t="s">
        <v>136</v>
      </c>
      <c r="B13">
        <v>2</v>
      </c>
      <c r="C13">
        <v>0</v>
      </c>
      <c r="D13">
        <v>0</v>
      </c>
    </row>
    <row r="14" spans="1:7" x14ac:dyDescent="0.3">
      <c r="A14" t="s">
        <v>139</v>
      </c>
      <c r="B14">
        <v>190</v>
      </c>
      <c r="C14">
        <v>190</v>
      </c>
      <c r="D14">
        <v>190</v>
      </c>
    </row>
    <row r="16" spans="1:7" x14ac:dyDescent="0.3">
      <c r="A16" s="9" t="s">
        <v>140</v>
      </c>
      <c r="B16">
        <f>((B6/B9)-((B12-B13)/B14))*100</f>
        <v>82.082379862700222</v>
      </c>
      <c r="C16">
        <f t="shared" ref="C16:D16" si="0">((C6/C9)-((C12-C13)/C14))*100</f>
        <v>40.320366132723109</v>
      </c>
      <c r="D16">
        <f t="shared" si="0"/>
        <v>-1.8306636155606404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Overview</vt:lpstr>
      <vt:lpstr>Sheet6</vt:lpstr>
      <vt:lpstr>CI_new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2025-09-02T11:59:04Z</dcterms:created>
  <dcterms:modified xsi:type="dcterms:W3CDTF">2025-12-08T09:59:13Z</dcterms:modified>
</cp:coreProperties>
</file>