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fbcd80f181300/Documents/Uni/PhD/WP3/UCP analyse/To Dutch/"/>
    </mc:Choice>
  </mc:AlternateContent>
  <xr:revisionPtr revIDLastSave="24" documentId="8_{1ED27660-F028-4BC5-9630-9EA66F6CFD33}" xr6:coauthVersionLast="47" xr6:coauthVersionMax="47" xr10:uidLastSave="{3E360A72-A4BF-475F-B63A-326216789DC5}"/>
  <bookViews>
    <workbookView xWindow="-108" yWindow="-108" windowWidth="23256" windowHeight="12456" activeTab="1" xr2:uid="{50B24152-3D8F-446B-AE2D-8647D7E942F1}"/>
  </bookViews>
  <sheets>
    <sheet name="Sheet1" sheetId="1" r:id="rId1"/>
    <sheet name="CI_new" sheetId="2" r:id="rId2"/>
    <sheet name="Ol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D6" i="3"/>
  <c r="C6" i="3"/>
  <c r="B6" i="3"/>
  <c r="D4" i="3"/>
  <c r="C4" i="3"/>
  <c r="B4" i="3"/>
  <c r="D3" i="3"/>
  <c r="C3" i="3"/>
  <c r="B3" i="3"/>
  <c r="D2" i="3"/>
  <c r="D5" i="3" s="1"/>
  <c r="C2" i="3"/>
  <c r="C5" i="3" s="1"/>
  <c r="B2" i="3"/>
  <c r="B5" i="3" s="1"/>
  <c r="D16" i="2"/>
  <c r="D7" i="2"/>
  <c r="D5" i="2"/>
  <c r="D4" i="2"/>
  <c r="D3" i="2"/>
  <c r="C7" i="2"/>
  <c r="C5" i="2"/>
  <c r="C4" i="2"/>
  <c r="C3" i="2"/>
  <c r="B7" i="2"/>
  <c r="B5" i="2"/>
  <c r="B4" i="2"/>
  <c r="B3" i="2"/>
  <c r="B8" i="3" l="1"/>
  <c r="B15" i="3" s="1"/>
  <c r="C8" i="3"/>
  <c r="C15" i="3" s="1"/>
  <c r="D8" i="3"/>
  <c r="D15" i="3" s="1"/>
  <c r="D6" i="2"/>
  <c r="D9" i="2" s="1"/>
  <c r="C6" i="2"/>
  <c r="B6" i="2"/>
  <c r="B9" i="2" s="1"/>
  <c r="C9" i="2" l="1"/>
  <c r="C16" i="2"/>
</calcChain>
</file>

<file path=xl/sharedStrings.xml><?xml version="1.0" encoding="utf-8"?>
<sst xmlns="http://schemas.openxmlformats.org/spreadsheetml/2006/main" count="220" uniqueCount="119">
  <si>
    <t>English</t>
  </si>
  <si>
    <t>fresh-washed</t>
  </si>
  <si>
    <t>fair</t>
  </si>
  <si>
    <t>pours</t>
  </si>
  <si>
    <t>bores through</t>
  </si>
  <si>
    <t>lathes</t>
  </si>
  <si>
    <t>lathes and planes</t>
  </si>
  <si>
    <t>cleaves</t>
  </si>
  <si>
    <t>flaws</t>
  </si>
  <si>
    <t>cracks it to</t>
  </si>
  <si>
    <t>bright light</t>
  </si>
  <si>
    <t>wobble deliciously</t>
  </si>
  <si>
    <t>whirring</t>
  </si>
  <si>
    <t>reeling</t>
  </si>
  <si>
    <t>planes of light</t>
  </si>
  <si>
    <t>jar</t>
  </si>
  <si>
    <t>sun-flawed</t>
  </si>
  <si>
    <t>beryl water</t>
  </si>
  <si>
    <t>too bright to bear</t>
  </si>
  <si>
    <t>covers</t>
  </si>
  <si>
    <t>The sky is blue and high.</t>
  </si>
  <si>
    <t>flaps</t>
  </si>
  <si>
    <t>HT</t>
  </si>
  <si>
    <t>Annotations of UCPs</t>
  </si>
  <si>
    <t>PE</t>
  </si>
  <si>
    <t>MT</t>
  </si>
  <si>
    <t xml:space="preserve">The day is fresh-washed and fair, and there is a smell of tulips and narcissus in the air. </t>
  </si>
  <si>
    <t xml:space="preserve">The sunshine pours in at the bath-room window and bores through the water in the bath-tub in lathes and planes of greenish-white. </t>
  </si>
  <si>
    <t xml:space="preserve">It cleaves the water into flaws like a jewel, and cracks it to bright light. </t>
  </si>
  <si>
    <t xml:space="preserve">Little spots of sunshine lie on the surface of the water and dance, dance, and their reflections wobble deliciously over the ceiling; </t>
  </si>
  <si>
    <t xml:space="preserve"> </t>
  </si>
  <si>
    <t xml:space="preserve">a stir of my finger sets them whirring, reeling.  </t>
  </si>
  <si>
    <t xml:space="preserve">I move a foot and the planes of light in the water jar.  </t>
  </si>
  <si>
    <t xml:space="preserve">I lie back and laugh, and let the green-white water, the sun-flawed beryl water, flow over me. </t>
  </si>
  <si>
    <t xml:space="preserve">  </t>
  </si>
  <si>
    <t xml:space="preserve">The day is almost too bright to bear, the green water covers me from the too bright day.  </t>
  </si>
  <si>
    <t xml:space="preserve">I will lie here awhile and play with the water and the sun spots.   </t>
  </si>
  <si>
    <t xml:space="preserve">A crow flaps by the window, and there is a whiff of tulips and narcissus in the air.  </t>
  </si>
  <si>
    <t>fair … air</t>
  </si>
  <si>
    <t>licht</t>
  </si>
  <si>
    <t>licht … lucht</t>
  </si>
  <si>
    <t>stroomt</t>
  </si>
  <si>
    <t>dringt door … in</t>
  </si>
  <si>
    <t>balken</t>
  </si>
  <si>
    <t>balken en vlakken</t>
  </si>
  <si>
    <t>splijt</t>
  </si>
  <si>
    <t>facetten van helder licht</t>
  </si>
  <si>
    <t>breekt … in</t>
  </si>
  <si>
    <t>little splots of sunshine</t>
  </si>
  <si>
    <t>kleine vlekjes zonlicht</t>
  </si>
  <si>
    <t>wiegelen heerlijk</t>
  </si>
  <si>
    <t>tollen</t>
  </si>
  <si>
    <t>lichtvlakken</t>
  </si>
  <si>
    <t>worden verstoord</t>
  </si>
  <si>
    <t>door de zon gefacetteerde</t>
  </si>
  <si>
    <t>berilwater</t>
  </si>
  <si>
    <t>te helder om te verdragen</t>
  </si>
  <si>
    <t>schermt me af</t>
  </si>
  <si>
    <t>the sun spots</t>
  </si>
  <si>
    <t>de zonnevlekjes</t>
  </si>
  <si>
    <t>there is a smell … in the air</t>
  </si>
  <si>
    <t>er hangt  een geur … in de lucht</t>
  </si>
  <si>
    <t>frisgewassen</t>
  </si>
  <si>
    <t>fraai</t>
  </si>
  <si>
    <t>fraai … lucht</t>
  </si>
  <si>
    <t>er hangt een geur … in de lucht</t>
  </si>
  <si>
    <t>klatert</t>
  </si>
  <si>
    <t>boort zich in</t>
  </si>
  <si>
    <t xml:space="preserve">lagen </t>
  </si>
  <si>
    <t>lagen en vlakken</t>
  </si>
  <si>
    <t>klieft</t>
  </si>
  <si>
    <t>breuken</t>
  </si>
  <si>
    <t>stralend licht</t>
  </si>
  <si>
    <t>vlekjes zon</t>
  </si>
  <si>
    <t>rollen</t>
  </si>
  <si>
    <t>zet …  (in het waterbassin) in beweging</t>
  </si>
  <si>
    <t>het zongebroken</t>
  </si>
  <si>
    <t>berylwater</t>
  </si>
  <si>
    <t>onverdraaglijk stralend</t>
  </si>
  <si>
    <t>beschut</t>
  </si>
  <si>
    <t>de zonnevlekken</t>
  </si>
  <si>
    <t>klapwiekt</t>
  </si>
  <si>
    <t>wiekt</t>
  </si>
  <si>
    <t>pas gewassen</t>
  </si>
  <si>
    <t>helder en fris</t>
  </si>
  <si>
    <t>fris … narcis</t>
  </si>
  <si>
    <t>de lucht geurt naar …</t>
  </si>
  <si>
    <t>banen</t>
  </si>
  <si>
    <t>banen en vlakken</t>
  </si>
  <si>
    <t xml:space="preserve">snijdt </t>
  </si>
  <si>
    <t>barsten</t>
  </si>
  <si>
    <t>flarden licht</t>
  </si>
  <si>
    <t>kleine zonnevlekken</t>
  </si>
  <si>
    <t>zalig wiebelen</t>
  </si>
  <si>
    <t>schokken uiteen</t>
  </si>
  <si>
    <t>zongebroken</t>
  </si>
  <si>
    <t>berylgroen water</t>
  </si>
  <si>
    <t>bedekt</t>
  </si>
  <si>
    <t>zonnevlekken</t>
  </si>
  <si>
    <t>flapt</t>
  </si>
  <si>
    <t>kraakschoon</t>
  </si>
  <si>
    <t>CSM</t>
  </si>
  <si>
    <t>R</t>
  </si>
  <si>
    <t>O</t>
  </si>
  <si>
    <t>doet het oplichten</t>
  </si>
  <si>
    <t>CSA</t>
  </si>
  <si>
    <t>CSC</t>
  </si>
  <si>
    <t>te stralend om te verdragen</t>
  </si>
  <si>
    <t>All CS</t>
  </si>
  <si>
    <t>Reproduction</t>
  </si>
  <si>
    <t>Total</t>
  </si>
  <si>
    <t>tollen … in het rond</t>
  </si>
  <si>
    <t>zwieren … in het rond</t>
  </si>
  <si>
    <t>#Errors</t>
  </si>
  <si>
    <t>#Errorpoints</t>
  </si>
  <si>
    <t>Kudos</t>
  </si>
  <si>
    <t>#Words</t>
  </si>
  <si>
    <t>CI</t>
  </si>
  <si>
    <t>tollen rond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</si>
</sst>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EC83-5F1C-49EA-A539-79252E6DC49C}">
  <dimension ref="A1:H26"/>
  <sheetViews>
    <sheetView zoomScale="95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32.44140625" customWidth="1"/>
    <col min="2" max="2" width="27.6640625" customWidth="1"/>
    <col min="3" max="3" width="25.33203125" style="2" customWidth="1"/>
    <col min="4" max="4" width="13.21875" customWidth="1"/>
    <col min="5" max="5" width="24.6640625" style="2" customWidth="1"/>
    <col min="6" max="6" width="14.33203125" customWidth="1"/>
    <col min="7" max="7" width="25.21875" style="2" customWidth="1"/>
    <col min="8" max="8" width="13.44140625" customWidth="1"/>
  </cols>
  <sheetData>
    <row r="1" spans="1:8" ht="28.8" x14ac:dyDescent="0.3">
      <c r="A1" s="1" t="s">
        <v>0</v>
      </c>
      <c r="B1" s="2"/>
      <c r="C1" s="2" t="s">
        <v>22</v>
      </c>
      <c r="D1" s="2" t="s">
        <v>23</v>
      </c>
      <c r="E1" s="2" t="s">
        <v>24</v>
      </c>
      <c r="F1" s="2" t="s">
        <v>23</v>
      </c>
      <c r="G1" s="2" t="s">
        <v>25</v>
      </c>
      <c r="H1" s="2" t="s">
        <v>23</v>
      </c>
    </row>
    <row r="2" spans="1:8" ht="43.2" x14ac:dyDescent="0.3">
      <c r="A2" s="3" t="s">
        <v>26</v>
      </c>
      <c r="B2" s="4" t="s">
        <v>1</v>
      </c>
      <c r="C2" s="2" t="s">
        <v>100</v>
      </c>
      <c r="D2" t="s">
        <v>101</v>
      </c>
      <c r="E2" s="2" t="s">
        <v>62</v>
      </c>
      <c r="F2" t="s">
        <v>102</v>
      </c>
      <c r="G2" s="2" t="s">
        <v>83</v>
      </c>
      <c r="H2" t="s">
        <v>102</v>
      </c>
    </row>
    <row r="3" spans="1:8" x14ac:dyDescent="0.3">
      <c r="A3" s="3"/>
      <c r="B3" s="4" t="s">
        <v>2</v>
      </c>
      <c r="C3" s="2" t="s">
        <v>39</v>
      </c>
      <c r="D3" t="s">
        <v>101</v>
      </c>
      <c r="E3" s="2" t="s">
        <v>63</v>
      </c>
      <c r="F3" t="s">
        <v>102</v>
      </c>
      <c r="G3" s="2" t="s">
        <v>84</v>
      </c>
      <c r="H3" t="s">
        <v>101</v>
      </c>
    </row>
    <row r="4" spans="1:8" x14ac:dyDescent="0.3">
      <c r="A4" s="3"/>
      <c r="B4" s="4" t="s">
        <v>38</v>
      </c>
      <c r="C4" s="2" t="s">
        <v>40</v>
      </c>
      <c r="D4" t="s">
        <v>101</v>
      </c>
      <c r="E4" s="2" t="s">
        <v>64</v>
      </c>
      <c r="F4" t="s">
        <v>102</v>
      </c>
      <c r="G4" s="2" t="s">
        <v>85</v>
      </c>
      <c r="H4" t="s">
        <v>101</v>
      </c>
    </row>
    <row r="5" spans="1:8" ht="28.8" x14ac:dyDescent="0.3">
      <c r="A5" s="3" t="s">
        <v>30</v>
      </c>
      <c r="B5" s="4" t="s">
        <v>60</v>
      </c>
      <c r="C5" s="2" t="s">
        <v>61</v>
      </c>
      <c r="D5" t="s">
        <v>102</v>
      </c>
      <c r="E5" s="2" t="s">
        <v>65</v>
      </c>
      <c r="F5" t="s">
        <v>102</v>
      </c>
      <c r="G5" s="2" t="s">
        <v>86</v>
      </c>
      <c r="H5" t="s">
        <v>102</v>
      </c>
    </row>
    <row r="6" spans="1:8" ht="57.6" x14ac:dyDescent="0.3">
      <c r="A6" s="5" t="s">
        <v>27</v>
      </c>
      <c r="B6" s="6" t="s">
        <v>3</v>
      </c>
      <c r="C6" s="2" t="s">
        <v>41</v>
      </c>
      <c r="D6" t="s">
        <v>102</v>
      </c>
      <c r="E6" s="2" t="s">
        <v>66</v>
      </c>
      <c r="F6" t="s">
        <v>101</v>
      </c>
      <c r="G6" s="2" t="s">
        <v>41</v>
      </c>
      <c r="H6" t="s">
        <v>102</v>
      </c>
    </row>
    <row r="7" spans="1:8" x14ac:dyDescent="0.3">
      <c r="A7" s="5" t="s">
        <v>30</v>
      </c>
      <c r="B7" s="6" t="s">
        <v>4</v>
      </c>
      <c r="C7" s="2" t="s">
        <v>42</v>
      </c>
      <c r="D7" t="s">
        <v>101</v>
      </c>
      <c r="E7" s="2" t="s">
        <v>67</v>
      </c>
      <c r="F7" t="s">
        <v>102</v>
      </c>
      <c r="G7" s="2" t="s">
        <v>67</v>
      </c>
      <c r="H7" t="s">
        <v>102</v>
      </c>
    </row>
    <row r="8" spans="1:8" x14ac:dyDescent="0.3">
      <c r="A8" s="5"/>
      <c r="B8" s="6" t="s">
        <v>5</v>
      </c>
      <c r="C8" s="2" t="s">
        <v>43</v>
      </c>
      <c r="D8" t="s">
        <v>102</v>
      </c>
      <c r="E8" s="2" t="s">
        <v>68</v>
      </c>
      <c r="F8" t="s">
        <v>102</v>
      </c>
      <c r="G8" s="2" t="s">
        <v>87</v>
      </c>
      <c r="H8" t="s">
        <v>102</v>
      </c>
    </row>
    <row r="9" spans="1:8" x14ac:dyDescent="0.3">
      <c r="A9" s="5" t="s">
        <v>30</v>
      </c>
      <c r="B9" s="6" t="s">
        <v>6</v>
      </c>
      <c r="C9" s="2" t="s">
        <v>44</v>
      </c>
      <c r="D9" t="s">
        <v>101</v>
      </c>
      <c r="E9" s="2" t="s">
        <v>69</v>
      </c>
      <c r="F9" t="s">
        <v>102</v>
      </c>
      <c r="G9" s="2" t="s">
        <v>88</v>
      </c>
      <c r="H9" t="s">
        <v>102</v>
      </c>
    </row>
    <row r="10" spans="1:8" ht="28.8" x14ac:dyDescent="0.3">
      <c r="A10" s="5" t="s">
        <v>28</v>
      </c>
      <c r="B10" s="6" t="s">
        <v>7</v>
      </c>
      <c r="C10" s="2" t="s">
        <v>45</v>
      </c>
      <c r="D10" t="s">
        <v>102</v>
      </c>
      <c r="E10" s="2" t="s">
        <v>70</v>
      </c>
      <c r="F10" t="s">
        <v>102</v>
      </c>
      <c r="G10" s="2" t="s">
        <v>89</v>
      </c>
      <c r="H10" t="s">
        <v>102</v>
      </c>
    </row>
    <row r="11" spans="1:8" x14ac:dyDescent="0.3">
      <c r="A11" s="5"/>
      <c r="B11" s="6" t="s">
        <v>8</v>
      </c>
      <c r="D11" t="s">
        <v>103</v>
      </c>
      <c r="E11" s="2" t="s">
        <v>71</v>
      </c>
      <c r="F11" t="s">
        <v>102</v>
      </c>
      <c r="G11" s="2" t="s">
        <v>90</v>
      </c>
      <c r="H11" t="s">
        <v>102</v>
      </c>
    </row>
    <row r="12" spans="1:8" x14ac:dyDescent="0.3">
      <c r="A12" s="5" t="s">
        <v>30</v>
      </c>
      <c r="B12" s="6" t="s">
        <v>9</v>
      </c>
      <c r="C12" s="2" t="s">
        <v>47</v>
      </c>
      <c r="D12" t="s">
        <v>102</v>
      </c>
      <c r="E12" s="2" t="s">
        <v>45</v>
      </c>
      <c r="F12" t="s">
        <v>102</v>
      </c>
      <c r="G12" s="2" t="s">
        <v>104</v>
      </c>
      <c r="H12" t="s">
        <v>105</v>
      </c>
    </row>
    <row r="13" spans="1:8" x14ac:dyDescent="0.3">
      <c r="A13" s="5" t="s">
        <v>30</v>
      </c>
      <c r="B13" s="6" t="s">
        <v>10</v>
      </c>
      <c r="C13" s="2" t="s">
        <v>46</v>
      </c>
      <c r="D13" t="s">
        <v>106</v>
      </c>
      <c r="E13" s="2" t="s">
        <v>72</v>
      </c>
      <c r="F13" t="s">
        <v>102</v>
      </c>
      <c r="G13" s="2" t="s">
        <v>91</v>
      </c>
      <c r="H13" t="s">
        <v>102</v>
      </c>
    </row>
    <row r="14" spans="1:8" ht="57.6" x14ac:dyDescent="0.3">
      <c r="A14" s="5" t="s">
        <v>29</v>
      </c>
      <c r="B14" s="6" t="s">
        <v>48</v>
      </c>
      <c r="C14" s="2" t="s">
        <v>49</v>
      </c>
      <c r="D14" t="s">
        <v>101</v>
      </c>
      <c r="E14" s="2" t="s">
        <v>73</v>
      </c>
      <c r="F14" t="s">
        <v>105</v>
      </c>
      <c r="G14" s="2" t="s">
        <v>92</v>
      </c>
      <c r="H14" t="s">
        <v>102</v>
      </c>
    </row>
    <row r="15" spans="1:8" x14ac:dyDescent="0.3">
      <c r="A15" s="5" t="s">
        <v>30</v>
      </c>
      <c r="B15" s="6" t="s">
        <v>11</v>
      </c>
      <c r="C15" s="2" t="s">
        <v>50</v>
      </c>
      <c r="D15" t="s">
        <v>101</v>
      </c>
      <c r="E15" s="2" t="s">
        <v>50</v>
      </c>
      <c r="F15" t="s">
        <v>101</v>
      </c>
      <c r="G15" s="2" t="s">
        <v>93</v>
      </c>
      <c r="H15" t="s">
        <v>102</v>
      </c>
    </row>
    <row r="16" spans="1:8" ht="28.8" x14ac:dyDescent="0.3">
      <c r="A16" s="5" t="s">
        <v>31</v>
      </c>
      <c r="B16" s="6" t="s">
        <v>12</v>
      </c>
      <c r="C16" s="2" t="s">
        <v>111</v>
      </c>
      <c r="D16" t="s">
        <v>106</v>
      </c>
      <c r="E16" s="2" t="s">
        <v>74</v>
      </c>
      <c r="F16" t="s">
        <v>102</v>
      </c>
      <c r="G16" s="2" t="s">
        <v>51</v>
      </c>
      <c r="H16" t="s">
        <v>102</v>
      </c>
    </row>
    <row r="17" spans="1:8" x14ac:dyDescent="0.3">
      <c r="A17" s="5"/>
      <c r="B17" s="6" t="s">
        <v>13</v>
      </c>
      <c r="C17" s="2" t="s">
        <v>112</v>
      </c>
      <c r="D17" t="s">
        <v>106</v>
      </c>
      <c r="E17" s="2" t="s">
        <v>118</v>
      </c>
      <c r="F17" t="s">
        <v>106</v>
      </c>
      <c r="G17" s="2" t="s">
        <v>51</v>
      </c>
      <c r="H17" t="s">
        <v>102</v>
      </c>
    </row>
    <row r="18" spans="1:8" ht="28.8" x14ac:dyDescent="0.3">
      <c r="A18" s="3" t="s">
        <v>32</v>
      </c>
      <c r="B18" s="4" t="s">
        <v>14</v>
      </c>
      <c r="C18" s="2" t="s">
        <v>52</v>
      </c>
      <c r="D18" t="s">
        <v>102</v>
      </c>
      <c r="E18" s="2" t="s">
        <v>52</v>
      </c>
      <c r="F18" t="s">
        <v>102</v>
      </c>
      <c r="G18" s="2" t="s">
        <v>52</v>
      </c>
      <c r="H18" t="s">
        <v>102</v>
      </c>
    </row>
    <row r="19" spans="1:8" ht="28.8" x14ac:dyDescent="0.3">
      <c r="A19" s="3"/>
      <c r="B19" s="4" t="s">
        <v>15</v>
      </c>
      <c r="C19" s="2" t="s">
        <v>53</v>
      </c>
      <c r="D19" t="s">
        <v>102</v>
      </c>
      <c r="E19" s="2" t="s">
        <v>75</v>
      </c>
      <c r="F19" t="s">
        <v>101</v>
      </c>
      <c r="G19" s="2" t="s">
        <v>94</v>
      </c>
      <c r="H19" t="s">
        <v>106</v>
      </c>
    </row>
    <row r="20" spans="1:8" ht="43.2" x14ac:dyDescent="0.3">
      <c r="A20" s="5" t="s">
        <v>33</v>
      </c>
      <c r="B20" s="6" t="s">
        <v>16</v>
      </c>
      <c r="C20" s="2" t="s">
        <v>54</v>
      </c>
      <c r="D20" t="s">
        <v>106</v>
      </c>
      <c r="E20" s="2" t="s">
        <v>76</v>
      </c>
      <c r="F20" t="s">
        <v>102</v>
      </c>
      <c r="G20" s="2" t="s">
        <v>95</v>
      </c>
      <c r="H20" t="s">
        <v>102</v>
      </c>
    </row>
    <row r="21" spans="1:8" x14ac:dyDescent="0.3">
      <c r="A21" s="5" t="s">
        <v>34</v>
      </c>
      <c r="B21" s="6" t="s">
        <v>17</v>
      </c>
      <c r="C21" s="2" t="s">
        <v>55</v>
      </c>
      <c r="D21" t="s">
        <v>102</v>
      </c>
      <c r="E21" s="2" t="s">
        <v>77</v>
      </c>
      <c r="F21" t="s">
        <v>102</v>
      </c>
      <c r="G21" s="2" t="s">
        <v>96</v>
      </c>
      <c r="H21" t="s">
        <v>106</v>
      </c>
    </row>
    <row r="22" spans="1:8" ht="43.2" x14ac:dyDescent="0.3">
      <c r="A22" s="5" t="s">
        <v>35</v>
      </c>
      <c r="B22" s="6" t="s">
        <v>18</v>
      </c>
      <c r="C22" s="2" t="s">
        <v>56</v>
      </c>
      <c r="D22" t="s">
        <v>102</v>
      </c>
      <c r="E22" s="2" t="s">
        <v>78</v>
      </c>
      <c r="F22" t="s">
        <v>101</v>
      </c>
      <c r="G22" s="2" t="s">
        <v>107</v>
      </c>
      <c r="H22" t="s">
        <v>102</v>
      </c>
    </row>
    <row r="23" spans="1:8" x14ac:dyDescent="0.3">
      <c r="A23" s="5"/>
      <c r="B23" s="6" t="s">
        <v>19</v>
      </c>
      <c r="C23" s="2" t="s">
        <v>57</v>
      </c>
      <c r="D23" t="s">
        <v>102</v>
      </c>
      <c r="E23" s="2" t="s">
        <v>79</v>
      </c>
      <c r="F23" t="s">
        <v>106</v>
      </c>
      <c r="G23" s="2" t="s">
        <v>97</v>
      </c>
      <c r="H23" t="s">
        <v>102</v>
      </c>
    </row>
    <row r="24" spans="1:8" ht="28.8" x14ac:dyDescent="0.3">
      <c r="A24" s="5" t="s">
        <v>36</v>
      </c>
      <c r="B24" s="6" t="s">
        <v>58</v>
      </c>
      <c r="C24" s="2" t="s">
        <v>59</v>
      </c>
      <c r="D24" t="s">
        <v>102</v>
      </c>
      <c r="E24" s="2" t="s">
        <v>80</v>
      </c>
      <c r="F24" t="s">
        <v>102</v>
      </c>
      <c r="G24" s="2" t="s">
        <v>98</v>
      </c>
      <c r="H24" t="s">
        <v>102</v>
      </c>
    </row>
    <row r="25" spans="1:8" x14ac:dyDescent="0.3">
      <c r="A25" s="3" t="s">
        <v>20</v>
      </c>
      <c r="B25" s="4"/>
    </row>
    <row r="26" spans="1:8" ht="43.2" x14ac:dyDescent="0.3">
      <c r="A26" s="1" t="s">
        <v>37</v>
      </c>
      <c r="B26" s="2" t="s">
        <v>21</v>
      </c>
      <c r="C26" s="2" t="s">
        <v>81</v>
      </c>
      <c r="D26" t="s">
        <v>101</v>
      </c>
      <c r="E26" s="2" t="s">
        <v>82</v>
      </c>
      <c r="F26" s="2" t="s">
        <v>101</v>
      </c>
      <c r="G26" s="2" t="s">
        <v>99</v>
      </c>
      <c r="H26" s="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9A5C-2909-4E50-A8FE-EDFD153B6302}">
  <dimension ref="A2:D16"/>
  <sheetViews>
    <sheetView tabSelected="1" workbookViewId="0">
      <selection activeCell="A2" sqref="A2:E17"/>
    </sheetView>
  </sheetViews>
  <sheetFormatPr defaultRowHeight="14.4" x14ac:dyDescent="0.3"/>
  <sheetData>
    <row r="2" spans="1:4" x14ac:dyDescent="0.3">
      <c r="B2" t="s">
        <v>22</v>
      </c>
      <c r="C2" t="s">
        <v>24</v>
      </c>
      <c r="D2" t="s">
        <v>25</v>
      </c>
    </row>
    <row r="3" spans="1:4" x14ac:dyDescent="0.3">
      <c r="A3" t="s">
        <v>101</v>
      </c>
      <c r="B3">
        <f>COUNTIF(Sheet1!$D$2:$D$37, "CSM")</f>
        <v>8</v>
      </c>
      <c r="C3">
        <f>COUNTIF(Sheet1!$F$2:$F$37, "CSM")</f>
        <v>5</v>
      </c>
      <c r="D3">
        <f>COUNTIF(Sheet1!$H$2:$H$37, "CSM")</f>
        <v>2</v>
      </c>
    </row>
    <row r="4" spans="1:4" x14ac:dyDescent="0.3">
      <c r="A4" t="s">
        <v>105</v>
      </c>
      <c r="B4">
        <f>COUNTIF(Sheet1!$D$2:$D$37, "CSA")</f>
        <v>0</v>
      </c>
      <c r="C4">
        <f>COUNTIF(Sheet1!$F$2:$F$37, "CSa")</f>
        <v>1</v>
      </c>
      <c r="D4">
        <f>COUNTIF(Sheet1!$H$2:$H$37, "CSA")</f>
        <v>1</v>
      </c>
    </row>
    <row r="5" spans="1:4" x14ac:dyDescent="0.3">
      <c r="A5" t="s">
        <v>106</v>
      </c>
      <c r="B5">
        <f>COUNTIF(Sheet1!$D$2:$D$37, "CSC")</f>
        <v>4</v>
      </c>
      <c r="C5">
        <f>COUNTIF(Sheet1!$F$2:$F$37, "CSc")</f>
        <v>2</v>
      </c>
      <c r="D5">
        <f>COUNTIF(Sheet1!$H$2:$H$37, "CSC")</f>
        <v>2</v>
      </c>
    </row>
    <row r="6" spans="1:4" x14ac:dyDescent="0.3">
      <c r="A6" t="s">
        <v>108</v>
      </c>
      <c r="B6">
        <f>SUM(B3:B5)</f>
        <v>12</v>
      </c>
      <c r="C6">
        <f>SUM(C3:C5)</f>
        <v>8</v>
      </c>
      <c r="D6">
        <f>SUM(D3:D5)</f>
        <v>5</v>
      </c>
    </row>
    <row r="7" spans="1:4" x14ac:dyDescent="0.3">
      <c r="A7" t="s">
        <v>109</v>
      </c>
      <c r="B7">
        <f>COUNTIF(Sheet1!$D$2:$D$37, "R")</f>
        <v>11</v>
      </c>
      <c r="C7">
        <f>COUNTIF(Sheet1!$F$2:$F$37, "R")</f>
        <v>16</v>
      </c>
      <c r="D7">
        <f>COUNTIF(Sheet1!$H$2:$H$37, "R")</f>
        <v>19</v>
      </c>
    </row>
    <row r="9" spans="1:4" x14ac:dyDescent="0.3">
      <c r="A9" s="7" t="s">
        <v>110</v>
      </c>
      <c r="B9">
        <f>SUM(B6:B7)</f>
        <v>23</v>
      </c>
      <c r="C9">
        <f>SUM(C6:C7)</f>
        <v>24</v>
      </c>
      <c r="D9">
        <f>SUM(D6:D7)</f>
        <v>24</v>
      </c>
    </row>
    <row r="11" spans="1:4" x14ac:dyDescent="0.3">
      <c r="A11" t="s">
        <v>113</v>
      </c>
      <c r="B11">
        <v>3</v>
      </c>
      <c r="C11">
        <v>8</v>
      </c>
      <c r="D11">
        <v>16</v>
      </c>
    </row>
    <row r="12" spans="1:4" x14ac:dyDescent="0.3">
      <c r="A12" t="s">
        <v>114</v>
      </c>
      <c r="B12">
        <v>3</v>
      </c>
      <c r="C12">
        <v>8</v>
      </c>
      <c r="D12">
        <v>48</v>
      </c>
    </row>
    <row r="13" spans="1:4" x14ac:dyDescent="0.3">
      <c r="A13" t="s">
        <v>115</v>
      </c>
      <c r="B13">
        <v>3</v>
      </c>
      <c r="C13">
        <v>4</v>
      </c>
      <c r="D13">
        <v>1</v>
      </c>
    </row>
    <row r="14" spans="1:4" x14ac:dyDescent="0.3">
      <c r="A14" t="s">
        <v>116</v>
      </c>
      <c r="B14">
        <v>173</v>
      </c>
      <c r="C14">
        <v>173</v>
      </c>
      <c r="D14">
        <v>173</v>
      </c>
    </row>
    <row r="16" spans="1:4" x14ac:dyDescent="0.3">
      <c r="A16" s="7" t="s">
        <v>117</v>
      </c>
      <c r="B16">
        <f>((B6/B9)-((B12-B13)/B14))*100</f>
        <v>52.173913043478258</v>
      </c>
      <c r="C16">
        <f t="shared" ref="C16:D16" si="0">((C6/C9)-((C12-C13)/C14))*100</f>
        <v>31.021194605009633</v>
      </c>
      <c r="D16">
        <f t="shared" si="0"/>
        <v>-6.3342967244701311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8520-130D-4ACE-8F7D-40AD2A2BEB3F}">
  <dimension ref="A1:D15"/>
  <sheetViews>
    <sheetView workbookViewId="0">
      <selection sqref="A1:D16"/>
    </sheetView>
  </sheetViews>
  <sheetFormatPr defaultRowHeight="14.4" x14ac:dyDescent="0.3"/>
  <sheetData>
    <row r="1" spans="1:4" x14ac:dyDescent="0.3">
      <c r="B1" t="s">
        <v>22</v>
      </c>
      <c r="C1" t="s">
        <v>24</v>
      </c>
      <c r="D1" t="s">
        <v>25</v>
      </c>
    </row>
    <row r="2" spans="1:4" x14ac:dyDescent="0.3">
      <c r="A2" t="s">
        <v>101</v>
      </c>
      <c r="B2">
        <f>COUNTIF(Sheet1!$D$2:$D$37, "CSM")</f>
        <v>8</v>
      </c>
      <c r="C2">
        <f>COUNTIF(Sheet1!$F$2:$F$37, "CSM")</f>
        <v>5</v>
      </c>
      <c r="D2">
        <f>COUNTIF(Sheet1!$H$2:$H$37, "CSM")</f>
        <v>2</v>
      </c>
    </row>
    <row r="3" spans="1:4" x14ac:dyDescent="0.3">
      <c r="A3" t="s">
        <v>105</v>
      </c>
      <c r="B3">
        <f>COUNTIF(Sheet1!$D$2:$D$37, "CSA")</f>
        <v>0</v>
      </c>
      <c r="C3">
        <f>COUNTIF(Sheet1!$F$2:$F$37, "CSa")</f>
        <v>1</v>
      </c>
      <c r="D3">
        <f>COUNTIF(Sheet1!$H$2:$H$37, "CSA")</f>
        <v>1</v>
      </c>
    </row>
    <row r="4" spans="1:4" x14ac:dyDescent="0.3">
      <c r="A4" t="s">
        <v>106</v>
      </c>
      <c r="B4">
        <f>COUNTIF(Sheet1!$D$2:$D$37, "CSC")</f>
        <v>4</v>
      </c>
      <c r="C4">
        <f>COUNTIF(Sheet1!$F$2:$F$37, "CSc")</f>
        <v>2</v>
      </c>
      <c r="D4">
        <f>COUNTIF(Sheet1!$H$2:$H$37, "CSC")</f>
        <v>2</v>
      </c>
    </row>
    <row r="5" spans="1:4" x14ac:dyDescent="0.3">
      <c r="A5" t="s">
        <v>108</v>
      </c>
      <c r="B5">
        <f>SUM(B2:B4)</f>
        <v>12</v>
      </c>
      <c r="C5">
        <f>SUM(C2:C4)</f>
        <v>8</v>
      </c>
      <c r="D5">
        <f>SUM(D2:D4)</f>
        <v>5</v>
      </c>
    </row>
    <row r="6" spans="1:4" x14ac:dyDescent="0.3">
      <c r="A6" t="s">
        <v>109</v>
      </c>
      <c r="B6">
        <f>COUNTIF(Sheet1!$D$2:$D$37, "R")</f>
        <v>11</v>
      </c>
      <c r="C6">
        <f>COUNTIF(Sheet1!$F$2:$F$37, "R")</f>
        <v>16</v>
      </c>
      <c r="D6">
        <f>COUNTIF(Sheet1!$H$2:$H$37, "R")</f>
        <v>19</v>
      </c>
    </row>
    <row r="8" spans="1:4" x14ac:dyDescent="0.3">
      <c r="A8" s="7" t="s">
        <v>110</v>
      </c>
      <c r="B8">
        <f>SUM(B5:B6)</f>
        <v>23</v>
      </c>
      <c r="C8">
        <f>SUM(C5:C6)</f>
        <v>24</v>
      </c>
      <c r="D8">
        <f>SUM(D5:D6)</f>
        <v>24</v>
      </c>
    </row>
    <row r="10" spans="1:4" x14ac:dyDescent="0.3">
      <c r="A10" t="s">
        <v>113</v>
      </c>
      <c r="B10">
        <v>2</v>
      </c>
      <c r="C10">
        <v>9</v>
      </c>
      <c r="D10">
        <v>33</v>
      </c>
    </row>
    <row r="11" spans="1:4" x14ac:dyDescent="0.3">
      <c r="A11" t="s">
        <v>114</v>
      </c>
      <c r="B11">
        <v>2</v>
      </c>
      <c r="C11">
        <v>9</v>
      </c>
      <c r="D11">
        <v>37</v>
      </c>
    </row>
    <row r="12" spans="1:4" x14ac:dyDescent="0.3">
      <c r="A12" t="s">
        <v>115</v>
      </c>
      <c r="B12">
        <v>1</v>
      </c>
      <c r="C12">
        <v>1</v>
      </c>
      <c r="D12">
        <v>0</v>
      </c>
    </row>
    <row r="13" spans="1:4" x14ac:dyDescent="0.3">
      <c r="A13" t="s">
        <v>116</v>
      </c>
      <c r="B13">
        <v>173</v>
      </c>
      <c r="C13">
        <v>173</v>
      </c>
      <c r="D13">
        <v>173</v>
      </c>
    </row>
    <row r="15" spans="1:4" x14ac:dyDescent="0.3">
      <c r="A15" s="7" t="s">
        <v>117</v>
      </c>
      <c r="B15">
        <f>((B5/B8)-((B11-B12)/B13))*100</f>
        <v>51.595878361397332</v>
      </c>
      <c r="C15">
        <f t="shared" ref="C15:D15" si="0">((C5/C8)-((C11-C12)/C13))*100</f>
        <v>28.709055876685934</v>
      </c>
      <c r="D15">
        <f t="shared" si="0"/>
        <v>-0.55394990366088581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CI_new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2025-09-04T06:37:06Z</dcterms:created>
  <dcterms:modified xsi:type="dcterms:W3CDTF">2026-03-05T21:48:45Z</dcterms:modified>
</cp:coreProperties>
</file>