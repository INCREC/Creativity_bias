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dfbcd80f181300/Documents/Uni/PhD/WP3/UCP analyse/To Dutch/"/>
    </mc:Choice>
  </mc:AlternateContent>
  <xr:revisionPtr revIDLastSave="131" documentId="8_{119E1F6E-6ABE-4BAF-8CFB-9D5E3BD59DCD}" xr6:coauthVersionLast="47" xr6:coauthVersionMax="47" xr10:uidLastSave="{9E38C4AF-F41C-423E-AA8A-26F8D769F896}"/>
  <bookViews>
    <workbookView xWindow="-108" yWindow="-108" windowWidth="23256" windowHeight="12456" xr2:uid="{2B149C7D-5EAB-4B4A-8D61-5C28ABA3FADE}"/>
  </bookViews>
  <sheets>
    <sheet name="Sheet1" sheetId="1" r:id="rId1"/>
  </sheets>
  <definedNames>
    <definedName name="_xlnm._FilterDatabase" localSheetId="0" hidden="1">Sheet1!$A$1:$I$17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23" i="1"/>
  <c r="I22" i="1"/>
  <c r="I21" i="1"/>
  <c r="I20" i="1"/>
  <c r="I27" i="1" s="1"/>
  <c r="G24" i="1"/>
  <c r="G23" i="1"/>
  <c r="G22" i="1"/>
  <c r="G21" i="1"/>
  <c r="G20" i="1"/>
  <c r="E24" i="1"/>
  <c r="E23" i="1"/>
  <c r="E22" i="1"/>
  <c r="E20" i="1"/>
  <c r="E21" i="1"/>
  <c r="I26" i="1" l="1"/>
  <c r="G27" i="1"/>
  <c r="G26" i="1"/>
  <c r="E27" i="1"/>
  <c r="E26" i="1"/>
</calcChain>
</file>

<file path=xl/sharedStrings.xml><?xml version="1.0" encoding="utf-8"?>
<sst xmlns="http://schemas.openxmlformats.org/spreadsheetml/2006/main" count="126" uniqueCount="85">
  <si>
    <t>Russian</t>
  </si>
  <si>
    <t>Translation sentence</t>
  </si>
  <si>
    <t xml:space="preserve">Яша Хейн проснулся затемно — гораздо раньше, чем прозвонил будильник, — от странной тишины, заполнявшей его изнутри. </t>
  </si>
  <si>
    <t>Jasja Hein werd wakker toen het nog donker was – lang voordat de wekker afliep – van een vreemde stilte die hem van binnenuit vulde.</t>
  </si>
  <si>
    <t xml:space="preserve">Ныли все cуставы и мышцы, болела голова, то и дело накатывала ужасная слабость. </t>
  </si>
  <si>
    <t>Al zijn gewrichten en spieren deden pijn, zijn hoofd bonsde en steeds weer overviel hem een vreselijke zwakte.</t>
  </si>
  <si>
    <t xml:space="preserve">На градуснике тридцать семь и два — температура, конечно, не то чтобы высокая, но субфебрильная — а это еще хуже. </t>
  </si>
  <si>
    <t>De thermometer gaf zevenendertig komma twee aan – niet meteen hoge koorts, alleen wat verhoging, maar dat was nog erger.</t>
  </si>
  <si>
    <t xml:space="preserve">и попросил жену нарисовать ему на груди и спине сеточки из йода — чтобы не начался кашель. </t>
  </si>
  <si>
    <t>en zijn vrouw gevraagd om jodium op zijn borst en rug te smeren – om te voorkomen dat hij zou gaan hoesten.</t>
  </si>
  <si>
    <t xml:space="preserve">И вот теперь Яша сидел в постели, завернувшись в одеяло, и чувствовал себя отвратительно. </t>
  </si>
  <si>
    <t xml:space="preserve">En nu zat Jasja in zijn deken gewikkeld in bed en voelde zich beroerd. </t>
  </si>
  <si>
    <t>Его грудь и живот — да что там грудь и живот, все тело — словно были наполнены застывшей сладкой ватой</t>
  </si>
  <si>
    <t xml:space="preserve">Zijn borst en buik – nee, zijn hele lijf – leken wel gevuld met gestolde suikerspin. </t>
  </si>
  <si>
    <t xml:space="preserve">Или холодным яблочным желе. </t>
  </si>
  <si>
    <t>Of met koude appelgelei.</t>
  </si>
  <si>
    <t xml:space="preserve">Но главное — эта тишина…. </t>
  </si>
  <si>
    <t xml:space="preserve">Maar het ergste was die stilte… </t>
  </si>
  <si>
    <t xml:space="preserve"> Эта странная тишина</t>
  </si>
  <si>
    <t>Die vreemde stilte.</t>
  </si>
  <si>
    <t xml:space="preserve">Что-то в нем явно разладилось, и разладилось всерьез. </t>
  </si>
  <si>
    <t>Er was duidelijk iets ontregeld daarbinnen, en behoorlijk ook.</t>
  </si>
  <si>
    <t>Теперь нужно было найти ту сломавшуюся шестеренку, которая мешала всему сложному порой барахлившему, но все же относительно слаженному механизму Яшиного тридцатипятилетнего тела нормально работать</t>
  </si>
  <si>
    <t xml:space="preserve">Nu moest hij het kapotte radertje zien te vinden dat verhinderde dat het ingewikkelde, soms haperende, maar alles bij elkaar toch relatief goed werkende mechanisme van zijn vijfendertigjarige lichaam normaal functioneerde </t>
  </si>
  <si>
    <t>найти и устранить неполадку медикаментозными средствами.</t>
  </si>
  <si>
    <t>– hij moest het mankement vinden en het met medicamenteuze middelen verhelpen.</t>
  </si>
  <si>
    <t>затемно</t>
  </si>
  <si>
    <t>Ныли все cуставы и мышцы</t>
  </si>
  <si>
    <t>накатывала ...слабость</t>
  </si>
  <si>
    <t>шипучих упсы</t>
  </si>
  <si>
    <t xml:space="preserve">сеточки из йода </t>
  </si>
  <si>
    <t>Его грудь и живот — да что там грудь и живот</t>
  </si>
  <si>
    <t>тишина, эта странная тишина</t>
  </si>
  <si>
    <t>Что-то в нем явно разладилось</t>
  </si>
  <si>
    <t>разладилось, и разладилось</t>
  </si>
  <si>
    <t>сложному порой барахлившему, но все же относительно слаженному механизму Яшиного тридцатипятилетнего тела</t>
  </si>
  <si>
    <t>устранить неполадку медикаментозными средствами</t>
  </si>
  <si>
    <t>UCP</t>
  </si>
  <si>
    <t>HT</t>
  </si>
  <si>
    <t>Annotations of UCPs</t>
  </si>
  <si>
    <t>MT</t>
  </si>
  <si>
    <t>PE</t>
  </si>
  <si>
    <t>toen het nog donker was</t>
  </si>
  <si>
    <t>CSC</t>
  </si>
  <si>
    <t>vóór zonsopgang</t>
  </si>
  <si>
    <t>R</t>
  </si>
  <si>
    <t>voor zonsopgang</t>
  </si>
  <si>
    <t>al zijn gewrichten en spieren deden pijn</t>
  </si>
  <si>
    <t>hij werd geplaagd door al zin gewrichten en spieren</t>
  </si>
  <si>
    <t>CSM</t>
  </si>
  <si>
    <t>weer overveiwl hem een vreselijke ziekte</t>
  </si>
  <si>
    <t>golven van verschikkelijke zwakte over hem heen</t>
  </si>
  <si>
    <t>hij werd voortdurend door een verschrikkelijke slapte overspoeld</t>
  </si>
  <si>
    <t>twee paracetamol</t>
  </si>
  <si>
    <t>twee bruistabletten</t>
  </si>
  <si>
    <t>На ночь Яша выпил две шипучих упсы, на всякий случай закапал нос нафтизином,  хотя насморка пока не было,</t>
  </si>
  <si>
    <t xml:space="preserve">Voor het slapengaan had hij twee paracetamol genomen, voor alle zekerheid druppels in zijn neus gedaan, ook al was hij nog niet verkouden, </t>
  </si>
  <si>
    <t>jodium</t>
  </si>
  <si>
    <t>CSA</t>
  </si>
  <si>
    <t>jodiumrooster</t>
  </si>
  <si>
    <t>jodiumarcering</t>
  </si>
  <si>
    <t>zijn borst en buik --of beter gezegd, zijn hele lichaam</t>
  </si>
  <si>
    <t>Het was of borst en buik -- oké, zijn hele lichaam</t>
  </si>
  <si>
    <t>zijn borst en buik - nee, zijn hele liijf</t>
  </si>
  <si>
    <t>die vreemde stilte</t>
  </si>
  <si>
    <t xml:space="preserve">die merkwaardige stilte </t>
  </si>
  <si>
    <t>er was duidelijk iets ontregeld daarbinnen</t>
  </si>
  <si>
    <t>er was duidelijk iets mis in hem</t>
  </si>
  <si>
    <t>er was duidelijk iets defect van binnen</t>
  </si>
  <si>
    <t>en behoorlijk ook</t>
  </si>
  <si>
    <t xml:space="preserve">en niet zo'n beetje ook </t>
  </si>
  <si>
    <t>en niet zo'n klein beetje ook</t>
  </si>
  <si>
    <t xml:space="preserve">verhinderde dat het ingewikkelde, soms haperende, maar alles bij elkaar toch relatief goed werkende mechanisme van zijn vijfendertigjarige lichaam normaal functioneerde </t>
  </si>
  <si>
    <t>het complexe, soms haperende, maar over het algemeen goed functionerende mechanisme van zijn vijfendertigjarige lichaam verstoorde</t>
  </si>
  <si>
    <t>de verstoring van het complexe, soms haperende, maar over het algemeen goed functionerende mechanisme van zijn vijfendertigjarige lichaam verstoorde</t>
  </si>
  <si>
    <t>het mankement … metmedicamenteuze middelen verhelpen</t>
  </si>
  <si>
    <t>het vinden … met medicijnen herstellen</t>
  </si>
  <si>
    <t>de verstoring … en het met medicamentaire middelen weg te nemen</t>
  </si>
  <si>
    <t>закапал нос нафтизином,</t>
  </si>
  <si>
    <t>druppels in zijn neus</t>
  </si>
  <si>
    <t>neusdruppels met nafazoline</t>
  </si>
  <si>
    <t>neus gedruppeld met naftizine</t>
  </si>
  <si>
    <t>O</t>
  </si>
  <si>
    <t>total CS</t>
  </si>
  <si>
    <t>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</si>
</sst>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2B0CC-35BC-40AF-B441-841A357E1776}">
  <dimension ref="A1:I27"/>
  <sheetViews>
    <sheetView tabSelected="1" topLeftCell="A2" workbookViewId="0">
      <selection activeCell="C4" sqref="C4"/>
    </sheetView>
  </sheetViews>
  <sheetFormatPr defaultRowHeight="14.4" x14ac:dyDescent="0.3"/>
  <cols>
    <col min="1" max="1" width="29.21875" customWidth="1"/>
    <col min="2" max="2" width="32" customWidth="1"/>
    <col min="3" max="3" width="29.21875" customWidth="1"/>
    <col min="4" max="4" width="24.88671875" customWidth="1"/>
    <col min="6" max="6" width="27.21875" customWidth="1"/>
    <col min="8" max="8" width="29.21875" customWidth="1"/>
  </cols>
  <sheetData>
    <row r="1" spans="1:9" ht="43.2" x14ac:dyDescent="0.3">
      <c r="A1" s="1" t="s">
        <v>0</v>
      </c>
      <c r="B1" s="1" t="s">
        <v>1</v>
      </c>
      <c r="C1" s="4" t="s">
        <v>37</v>
      </c>
      <c r="D1" t="s">
        <v>38</v>
      </c>
      <c r="E1" s="2" t="s">
        <v>39</v>
      </c>
      <c r="F1" s="2" t="s">
        <v>40</v>
      </c>
      <c r="G1" s="2" t="s">
        <v>39</v>
      </c>
      <c r="H1" s="2" t="s">
        <v>41</v>
      </c>
      <c r="I1" s="2" t="s">
        <v>39</v>
      </c>
    </row>
    <row r="2" spans="1:9" ht="72" x14ac:dyDescent="0.3">
      <c r="A2" s="2" t="s">
        <v>2</v>
      </c>
      <c r="B2" s="2" t="s">
        <v>3</v>
      </c>
      <c r="C2" t="s">
        <v>26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45</v>
      </c>
    </row>
    <row r="3" spans="1:9" ht="43.2" x14ac:dyDescent="0.3">
      <c r="A3" s="2" t="s">
        <v>4</v>
      </c>
      <c r="B3" s="2" t="s">
        <v>5</v>
      </c>
      <c r="C3" t="s">
        <v>27</v>
      </c>
      <c r="D3" t="s">
        <v>47</v>
      </c>
      <c r="E3" t="s">
        <v>45</v>
      </c>
      <c r="F3" t="s">
        <v>47</v>
      </c>
      <c r="G3" t="s">
        <v>45</v>
      </c>
      <c r="H3" t="s">
        <v>48</v>
      </c>
      <c r="I3" t="s">
        <v>49</v>
      </c>
    </row>
    <row r="4" spans="1:9" x14ac:dyDescent="0.3">
      <c r="A4" s="2"/>
      <c r="B4" s="2"/>
      <c r="C4" t="s">
        <v>28</v>
      </c>
      <c r="D4" t="s">
        <v>50</v>
      </c>
      <c r="E4" t="s">
        <v>49</v>
      </c>
      <c r="F4" t="s">
        <v>51</v>
      </c>
      <c r="G4" t="s">
        <v>49</v>
      </c>
      <c r="H4" t="s">
        <v>52</v>
      </c>
      <c r="I4" t="s">
        <v>49</v>
      </c>
    </row>
    <row r="5" spans="1:9" ht="72" x14ac:dyDescent="0.3">
      <c r="A5" s="2" t="s">
        <v>6</v>
      </c>
      <c r="B5" s="2" t="s">
        <v>7</v>
      </c>
    </row>
    <row r="6" spans="1:9" ht="72" x14ac:dyDescent="0.3">
      <c r="A6" s="2" t="s">
        <v>55</v>
      </c>
      <c r="B6" s="2" t="s">
        <v>56</v>
      </c>
      <c r="C6" t="s">
        <v>29</v>
      </c>
      <c r="D6" t="s">
        <v>53</v>
      </c>
      <c r="E6" t="s">
        <v>43</v>
      </c>
      <c r="F6" t="s">
        <v>54</v>
      </c>
      <c r="G6" t="s">
        <v>45</v>
      </c>
      <c r="H6" t="s">
        <v>54</v>
      </c>
      <c r="I6" t="s">
        <v>45</v>
      </c>
    </row>
    <row r="7" spans="1:9" x14ac:dyDescent="0.3">
      <c r="A7" s="2"/>
      <c r="B7" s="2"/>
      <c r="C7" t="s">
        <v>78</v>
      </c>
      <c r="D7" t="s">
        <v>79</v>
      </c>
      <c r="E7" t="s">
        <v>58</v>
      </c>
      <c r="F7" t="s">
        <v>80</v>
      </c>
      <c r="G7" t="s">
        <v>45</v>
      </c>
      <c r="H7" t="s">
        <v>81</v>
      </c>
      <c r="I7" t="s">
        <v>45</v>
      </c>
    </row>
    <row r="8" spans="1:9" ht="43.2" x14ac:dyDescent="0.3">
      <c r="A8" s="2" t="s">
        <v>8</v>
      </c>
      <c r="B8" s="2" t="s">
        <v>9</v>
      </c>
      <c r="C8" t="s">
        <v>30</v>
      </c>
      <c r="D8" t="s">
        <v>57</v>
      </c>
      <c r="E8" t="s">
        <v>58</v>
      </c>
      <c r="F8" t="s">
        <v>59</v>
      </c>
      <c r="G8" t="s">
        <v>45</v>
      </c>
      <c r="H8" t="s">
        <v>60</v>
      </c>
      <c r="I8" t="s">
        <v>45</v>
      </c>
    </row>
    <row r="9" spans="1:9" ht="57.6" x14ac:dyDescent="0.3">
      <c r="A9" s="2" t="s">
        <v>10</v>
      </c>
      <c r="B9" s="2" t="s">
        <v>11</v>
      </c>
    </row>
    <row r="10" spans="1:9" ht="57.6" x14ac:dyDescent="0.3">
      <c r="A10" s="2" t="s">
        <v>12</v>
      </c>
      <c r="B10" s="2" t="s">
        <v>13</v>
      </c>
      <c r="C10" t="s">
        <v>31</v>
      </c>
      <c r="D10" t="s">
        <v>63</v>
      </c>
      <c r="E10" t="s">
        <v>49</v>
      </c>
      <c r="F10" t="s">
        <v>61</v>
      </c>
      <c r="G10" t="s">
        <v>49</v>
      </c>
      <c r="H10" t="s">
        <v>62</v>
      </c>
      <c r="I10" t="s">
        <v>49</v>
      </c>
    </row>
    <row r="11" spans="1:9" x14ac:dyDescent="0.3">
      <c r="A11" s="2" t="s">
        <v>14</v>
      </c>
      <c r="B11" s="2" t="s">
        <v>15</v>
      </c>
    </row>
    <row r="12" spans="1:9" x14ac:dyDescent="0.3">
      <c r="A12" s="2" t="s">
        <v>16</v>
      </c>
      <c r="B12" s="2" t="s">
        <v>17</v>
      </c>
    </row>
    <row r="13" spans="1:9" x14ac:dyDescent="0.3">
      <c r="A13" s="2" t="s">
        <v>18</v>
      </c>
      <c r="B13" s="2" t="s">
        <v>19</v>
      </c>
      <c r="C13" t="s">
        <v>32</v>
      </c>
      <c r="D13" t="s">
        <v>64</v>
      </c>
      <c r="E13" t="s">
        <v>45</v>
      </c>
      <c r="F13" t="s">
        <v>64</v>
      </c>
      <c r="G13" t="s">
        <v>45</v>
      </c>
      <c r="H13" t="s">
        <v>65</v>
      </c>
      <c r="I13" t="s">
        <v>45</v>
      </c>
    </row>
    <row r="14" spans="1:9" ht="28.8" x14ac:dyDescent="0.3">
      <c r="A14" s="2" t="s">
        <v>20</v>
      </c>
      <c r="B14" s="3" t="s">
        <v>21</v>
      </c>
      <c r="C14" t="s">
        <v>33</v>
      </c>
      <c r="D14" t="s">
        <v>66</v>
      </c>
      <c r="E14" t="s">
        <v>49</v>
      </c>
      <c r="F14" t="s">
        <v>67</v>
      </c>
      <c r="G14" t="s">
        <v>45</v>
      </c>
      <c r="H14" t="s">
        <v>68</v>
      </c>
      <c r="I14" t="s">
        <v>49</v>
      </c>
    </row>
    <row r="15" spans="1:9" x14ac:dyDescent="0.3">
      <c r="A15" s="2"/>
      <c r="B15" s="3"/>
      <c r="C15" t="s">
        <v>34</v>
      </c>
      <c r="D15" t="s">
        <v>69</v>
      </c>
      <c r="E15" t="s">
        <v>49</v>
      </c>
      <c r="F15" t="s">
        <v>70</v>
      </c>
      <c r="G15" t="s">
        <v>49</v>
      </c>
      <c r="H15" t="s">
        <v>71</v>
      </c>
      <c r="I15" t="s">
        <v>49</v>
      </c>
    </row>
    <row r="16" spans="1:9" ht="115.2" x14ac:dyDescent="0.3">
      <c r="A16" s="2" t="s">
        <v>22</v>
      </c>
      <c r="B16" s="2" t="s">
        <v>23</v>
      </c>
      <c r="C16" s="2" t="s">
        <v>35</v>
      </c>
      <c r="D16" t="s">
        <v>72</v>
      </c>
      <c r="E16" s="2" t="s">
        <v>49</v>
      </c>
      <c r="F16" s="2" t="s">
        <v>73</v>
      </c>
      <c r="G16" s="2" t="s">
        <v>45</v>
      </c>
      <c r="H16" t="s">
        <v>74</v>
      </c>
      <c r="I16" s="2" t="s">
        <v>49</v>
      </c>
    </row>
    <row r="17" spans="1:9" ht="43.2" x14ac:dyDescent="0.3">
      <c r="A17" s="2" t="s">
        <v>24</v>
      </c>
      <c r="B17" s="2" t="s">
        <v>25</v>
      </c>
      <c r="C17" t="s">
        <v>36</v>
      </c>
      <c r="D17" t="s">
        <v>75</v>
      </c>
      <c r="E17" t="s">
        <v>49</v>
      </c>
      <c r="F17" t="s">
        <v>76</v>
      </c>
      <c r="G17" t="s">
        <v>45</v>
      </c>
      <c r="H17" t="s">
        <v>77</v>
      </c>
      <c r="I17" t="s">
        <v>49</v>
      </c>
    </row>
    <row r="20" spans="1:9" x14ac:dyDescent="0.3">
      <c r="C20" t="s">
        <v>49</v>
      </c>
      <c r="E20">
        <f>COUNTIF(E$2:E$17, "CSM")</f>
        <v>6</v>
      </c>
      <c r="G20">
        <f>COUNTIF(G$2:G$17, "CSM")</f>
        <v>3</v>
      </c>
      <c r="I20">
        <f>COUNTIF(I$2:I$17, "CSM")</f>
        <v>7</v>
      </c>
    </row>
    <row r="21" spans="1:9" x14ac:dyDescent="0.3">
      <c r="C21" t="s">
        <v>43</v>
      </c>
      <c r="E21">
        <f>COUNTIF(E$2:E$17, "CSC")</f>
        <v>2</v>
      </c>
      <c r="G21">
        <f>COUNTIF(G$2:G$17, "CSC")</f>
        <v>0</v>
      </c>
      <c r="I21">
        <f>COUNTIF(I$2:I$17, "CSC")</f>
        <v>0</v>
      </c>
    </row>
    <row r="22" spans="1:9" x14ac:dyDescent="0.3">
      <c r="C22" t="s">
        <v>58</v>
      </c>
      <c r="E22">
        <f>COUNTIF(E$2:E$17, "CSA")</f>
        <v>2</v>
      </c>
      <c r="G22">
        <f>COUNTIF(G$2:G$17, "CSA")</f>
        <v>0</v>
      </c>
      <c r="I22">
        <f>COUNTIF(I$2:I$17, "CSA")</f>
        <v>0</v>
      </c>
    </row>
    <row r="23" spans="1:9" x14ac:dyDescent="0.3">
      <c r="C23" t="s">
        <v>45</v>
      </c>
      <c r="E23">
        <f>COUNTIF(E$2:E$17, "R")</f>
        <v>2</v>
      </c>
      <c r="G23">
        <f>COUNTIF(G$2:G$17, "R")</f>
        <v>9</v>
      </c>
      <c r="I23">
        <f>COUNTIF(I$2:I$17, "R")</f>
        <v>5</v>
      </c>
    </row>
    <row r="24" spans="1:9" x14ac:dyDescent="0.3">
      <c r="C24" t="s">
        <v>82</v>
      </c>
      <c r="E24">
        <f>COUNTIF(E$2:E$17, "O")</f>
        <v>0</v>
      </c>
      <c r="G24">
        <f>COUNTIF(G$2:G$17, "O")</f>
        <v>0</v>
      </c>
      <c r="I24">
        <f>COUNTIF(I$2:I$17, "O")</f>
        <v>0</v>
      </c>
    </row>
    <row r="26" spans="1:9" x14ac:dyDescent="0.3">
      <c r="C26" t="s">
        <v>83</v>
      </c>
      <c r="E26">
        <f>SUM(E20:E22)</f>
        <v>10</v>
      </c>
      <c r="G26">
        <f>SUM(G20:G22)</f>
        <v>3</v>
      </c>
      <c r="I26">
        <f>SUM(I20:I22)</f>
        <v>7</v>
      </c>
    </row>
    <row r="27" spans="1:9" x14ac:dyDescent="0.3">
      <c r="C27" t="s">
        <v>84</v>
      </c>
      <c r="E27">
        <f>SUM(E20:E24)</f>
        <v>12</v>
      </c>
      <c r="G27">
        <f>SUM(G20:G24)</f>
        <v>12</v>
      </c>
      <c r="I27">
        <f>SUM(I20:I24)</f>
        <v>12</v>
      </c>
    </row>
  </sheetData>
  <autoFilter ref="A1:I17" xr:uid="{BC02B0CC-35BC-40AF-B441-841A357E177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 Gerrits</dc:creator>
  <cp:lastModifiedBy>Kyo Gerrits</cp:lastModifiedBy>
  <dcterms:created xsi:type="dcterms:W3CDTF">2025-11-26T12:31:23Z</dcterms:created>
  <dcterms:modified xsi:type="dcterms:W3CDTF">2026-03-16T14:33:51Z</dcterms:modified>
</cp:coreProperties>
</file>