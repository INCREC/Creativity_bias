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UCP analyse/To Dutch/"/>
    </mc:Choice>
  </mc:AlternateContent>
  <xr:revisionPtr revIDLastSave="251" documentId="8_{C456E890-72CD-42AA-8413-407AEA8AF605}" xr6:coauthVersionLast="47" xr6:coauthVersionMax="47" xr10:uidLastSave="{6A33EE50-DBB6-4660-9975-164A1683A6A3}"/>
  <bookViews>
    <workbookView xWindow="-108" yWindow="-108" windowWidth="23256" windowHeight="12456" activeTab="1" xr2:uid="{F7248C60-D52B-4F91-9352-4B24765AB161}"/>
  </bookViews>
  <sheets>
    <sheet name="Sheet1" sheetId="1" r:id="rId1"/>
    <sheet name="Scores" sheetId="4" r:id="rId2"/>
  </sheets>
  <definedNames>
    <definedName name="_xlnm._FilterDatabase" localSheetId="0" hidden="1">Sheet1!$A$1:$I$28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D8" i="4"/>
  <c r="B8" i="4"/>
  <c r="D6" i="4"/>
  <c r="C6" i="4"/>
  <c r="B6" i="4"/>
  <c r="D5" i="4"/>
  <c r="C5" i="4"/>
  <c r="B5" i="4"/>
  <c r="D4" i="4"/>
  <c r="C4" i="4"/>
  <c r="B4" i="4"/>
  <c r="D3" i="4"/>
  <c r="C3" i="4"/>
  <c r="B3" i="4"/>
  <c r="D2" i="4"/>
  <c r="D9" i="4" s="1"/>
  <c r="C2" i="4"/>
  <c r="C9" i="4" s="1"/>
  <c r="B2" i="4"/>
  <c r="B9" i="4" l="1"/>
</calcChain>
</file>

<file path=xl/sharedStrings.xml><?xml version="1.0" encoding="utf-8"?>
<sst xmlns="http://schemas.openxmlformats.org/spreadsheetml/2006/main" count="235" uniqueCount="151">
  <si>
    <t>Russian</t>
  </si>
  <si>
    <t>Translation sentence</t>
  </si>
  <si>
    <t>Твой дом</t>
  </si>
  <si>
    <t>Jouw huis</t>
  </si>
  <si>
    <t>Твой дом, не ведая беды,</t>
  </si>
  <si>
    <t>Jouw huis, zich nergens van bewust,</t>
  </si>
  <si>
    <t>меня встречал и в щеку чмокал.</t>
  </si>
  <si>
    <t>gaf mij bij binnenkomst een kus,</t>
  </si>
  <si>
    <t>Как будто рыба из воды,</t>
  </si>
  <si>
    <t>en het serviesgoed keek naar buiten</t>
  </si>
  <si>
    <t>сервиз выглядывал из стекол.</t>
  </si>
  <si>
    <t>als een goudvis door de ruiten.</t>
  </si>
  <si>
    <t>И пес выскакивал ко мне,</t>
  </si>
  <si>
    <t>Een hond kwispelde trouw,</t>
  </si>
  <si>
    <t>как галка маленький, орущий,</t>
  </si>
  <si>
    <t>ergens krijste er een kauw,</t>
  </si>
  <si>
    <t>и в беззащитном всеоружьи</t>
  </si>
  <si>
    <t>en in weerloosheid paraat</t>
  </si>
  <si>
    <t>торчали кактусы в окне.</t>
  </si>
  <si>
    <t>flankeerden cactussen de straat.</t>
  </si>
  <si>
    <t>От неурядиц всей земли</t>
  </si>
  <si>
    <t>Ik was van onmin de gezant,</t>
  </si>
  <si>
    <t>я шла озябшим делегатом,</t>
  </si>
  <si>
    <t>de kleumende representant:</t>
  </si>
  <si>
    <t>и дом смотрел в глаза мои</t>
  </si>
  <si>
    <t>het huis toen keek mij in de ogen,</t>
  </si>
  <si>
    <t>и добрым был и деликатным.</t>
  </si>
  <si>
    <t>tactvol, vriendelijk, vol mededogen</t>
  </si>
  <si>
    <t>На голову мою стыда</t>
  </si>
  <si>
    <t>Geen schande en geen bitterheid:</t>
  </si>
  <si>
    <t>он не навлек, себя не выдал.</t>
  </si>
  <si>
    <t>ze liet niets merken, geen verwijt</t>
  </si>
  <si>
    <t>Дом клялся мне, что никогда</t>
  </si>
  <si>
    <t>of dat hij haar van vroeger kende,</t>
  </si>
  <si>
    <t>он этой женщины не видел.</t>
  </si>
  <si>
    <t>deze geenszins onbekende.</t>
  </si>
  <si>
    <t>Он говорил: — Я пуст, Я пуст. —</t>
  </si>
  <si>
    <t>Het huis zei: 'Leeg, ik ben leeg.'</t>
  </si>
  <si>
    <t>Я говорила: — Где-то, где-то… —</t>
  </si>
  <si>
    <t>Ik zei: 'Maar toch…' en zweeg.</t>
  </si>
  <si>
    <t>Он говорил: — И пусть. И пусть.</t>
  </si>
  <si>
    <t>Het huis zei: 'Ik weet het, ik weet het,</t>
  </si>
  <si>
    <t>Входи и позабудь про это.</t>
  </si>
  <si>
    <t xml:space="preserve">maar kom binnen en vergeet het.' </t>
  </si>
  <si>
    <t>gesmaad en van haar eer beroofd</t>
  </si>
  <si>
    <t>дом, не ведая беды</t>
  </si>
  <si>
    <t>встречал и ... чмокал</t>
  </si>
  <si>
    <t>чмокал</t>
  </si>
  <si>
    <t>Как будто рыба из воды</t>
  </si>
  <si>
    <t>сервиз выглядывал</t>
  </si>
  <si>
    <t>из стекол</t>
  </si>
  <si>
    <t>пес выскакивал</t>
  </si>
  <si>
    <t>как галка маленький</t>
  </si>
  <si>
    <t>орущий</t>
  </si>
  <si>
    <t>торчали кактусы</t>
  </si>
  <si>
    <t>неурядиц всей земли</t>
  </si>
  <si>
    <t>озябшим делегатом</t>
  </si>
  <si>
    <t>дом смотрел</t>
  </si>
  <si>
    <t>глаза мои</t>
  </si>
  <si>
    <t>добрым был</t>
  </si>
  <si>
    <t>дом...добрым и деликатным</t>
  </si>
  <si>
    <t>стыда...не навлек</t>
  </si>
  <si>
    <t>себя не выдал</t>
  </si>
  <si>
    <t>дом клялся</t>
  </si>
  <si>
    <t>этой женщины не видел</t>
  </si>
  <si>
    <t>я пуст, я пуст</t>
  </si>
  <si>
    <t>Где-то, где-то</t>
  </si>
  <si>
    <t>и пусть и пусть</t>
  </si>
  <si>
    <t>позабудь</t>
  </si>
  <si>
    <t>UCP</t>
  </si>
  <si>
    <t>HT</t>
  </si>
  <si>
    <t>Annotations of UCPs</t>
  </si>
  <si>
    <t>MT</t>
  </si>
  <si>
    <t>PE</t>
  </si>
  <si>
    <t>zich nergens van bewust</t>
  </si>
  <si>
    <t>CSC</t>
  </si>
  <si>
    <t>onwetend van verdriet</t>
  </si>
  <si>
    <t>R</t>
  </si>
  <si>
    <t>waar pijn ondenkbaar was</t>
  </si>
  <si>
    <t>gaf me bij binnenkomt</t>
  </si>
  <si>
    <t>CSM</t>
  </si>
  <si>
    <t>ontving mij zacht</t>
  </si>
  <si>
    <t>begroette mij</t>
  </si>
  <si>
    <t>kus</t>
  </si>
  <si>
    <t>een wangkus</t>
  </si>
  <si>
    <t>gastvrij en blij</t>
  </si>
  <si>
    <t>als een goudvis door de ruiten</t>
  </si>
  <si>
    <t>als vis die plots uit het water schiet</t>
  </si>
  <si>
    <t>als vanuit zee</t>
  </si>
  <si>
    <t xml:space="preserve">het serviesgoed keek </t>
  </si>
  <si>
    <t>glansde het servies</t>
  </si>
  <si>
    <t>glaswerk … bekeek</t>
  </si>
  <si>
    <t>door de ruiten</t>
  </si>
  <si>
    <t>t ruitgebied</t>
  </si>
  <si>
    <t>vensterglas</t>
  </si>
  <si>
    <t>een hond kwispelde</t>
  </si>
  <si>
    <t>de hond sprong op me af</t>
  </si>
  <si>
    <t>(…) sprong me uitbundig tegemoet</t>
  </si>
  <si>
    <t>ergens krijste er een kauw</t>
  </si>
  <si>
    <t>als kauwtje</t>
  </si>
  <si>
    <t>keffend als een kraai</t>
  </si>
  <si>
    <t>krijste</t>
  </si>
  <si>
    <t>schril en driftig vrij</t>
  </si>
  <si>
    <t>CSA</t>
  </si>
  <si>
    <t>in weerloosheid paraat</t>
  </si>
  <si>
    <t>weerloos, maar in wapenrust</t>
  </si>
  <si>
    <t>weerloos … stoerestoet</t>
  </si>
  <si>
    <t xml:space="preserve">keffend </t>
  </si>
  <si>
    <t>flankeerde cactussen</t>
  </si>
  <si>
    <t>stond in het raam de cactus</t>
  </si>
  <si>
    <t>in het raam … cacteeën</t>
  </si>
  <si>
    <t>van onmin</t>
  </si>
  <si>
    <t>van wereldleed, van ramp en strijd</t>
  </si>
  <si>
    <t>uit 's wereldschaos</t>
  </si>
  <si>
    <t>verkleumende representant</t>
  </si>
  <si>
    <t>afgekoelde gezant</t>
  </si>
  <si>
    <t>ijskoud, als delegaat</t>
  </si>
  <si>
    <t>het huiis keek mij in de ogen</t>
  </si>
  <si>
    <t>t't huis keek in mijn ogen</t>
  </si>
  <si>
    <t>zijn aangezicht</t>
  </si>
  <si>
    <t>in de ogen</t>
  </si>
  <si>
    <t>diep de ogen in</t>
  </si>
  <si>
    <t>O</t>
  </si>
  <si>
    <t>zo goed, zo delicaat</t>
  </si>
  <si>
    <t>vriendelijk</t>
  </si>
  <si>
    <t>goed</t>
  </si>
  <si>
    <t>het was vriendelijk, was elegant</t>
  </si>
  <si>
    <t>geen schande wierp het op mijn hoofd</t>
  </si>
  <si>
    <t>ze liet niets merken</t>
  </si>
  <si>
    <t>het zweeg</t>
  </si>
  <si>
    <t>in stilte</t>
  </si>
  <si>
    <t>geen verwijt</t>
  </si>
  <si>
    <t>het zwoer mij</t>
  </si>
  <si>
    <t>zwoer het</t>
  </si>
  <si>
    <t>of dat hij haar van vroeger kende</t>
  </si>
  <si>
    <t>of zelfs gezien</t>
  </si>
  <si>
    <t>Leeg, ik ben leeg</t>
  </si>
  <si>
    <t>Ik leeg. Ik leeg. Ik leeg</t>
  </si>
  <si>
    <t>ik ben zo leeg, zo leeg</t>
  </si>
  <si>
    <t>Maar toch</t>
  </si>
  <si>
    <t>Ergens, misschien, misschien</t>
  </si>
  <si>
    <t>Maar ergens, iets</t>
  </si>
  <si>
    <t>ik weet het, ik weet het</t>
  </si>
  <si>
    <t>en laat het dan maar zo</t>
  </si>
  <si>
    <t>Toen deed ik wat het vroeg</t>
  </si>
  <si>
    <t>vergeet het</t>
  </si>
  <si>
    <t>vergeet wat was</t>
  </si>
  <si>
    <t>vergeet, vergeet wat is geweest</t>
  </si>
  <si>
    <t>nooit, bij licht of nacht, heb ik die vrouw ooit gezien</t>
  </si>
  <si>
    <t>(total)</t>
  </si>
  <si>
    <t>total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</si>
</sst>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6A78-E543-4518-AFE2-11A99E7AC5C6}">
  <dimension ref="A1:I28"/>
  <sheetViews>
    <sheetView topLeftCell="A27" zoomScale="120" workbookViewId="0">
      <selection activeCell="B33" sqref="B33"/>
    </sheetView>
  </sheetViews>
  <sheetFormatPr defaultRowHeight="14.4" x14ac:dyDescent="0.3"/>
  <cols>
    <col min="1" max="3" width="27.21875" customWidth="1"/>
    <col min="4" max="4" width="21.77734375" customWidth="1"/>
    <col min="6" max="6" width="25.33203125" customWidth="1"/>
    <col min="8" max="8" width="28.5546875" customWidth="1"/>
  </cols>
  <sheetData>
    <row r="1" spans="1:9" ht="43.2" x14ac:dyDescent="0.3">
      <c r="A1" s="1" t="s">
        <v>0</v>
      </c>
      <c r="B1" s="1" t="s">
        <v>1</v>
      </c>
      <c r="C1" s="3" t="s">
        <v>69</v>
      </c>
      <c r="D1" t="s">
        <v>70</v>
      </c>
      <c r="E1" s="2" t="s">
        <v>71</v>
      </c>
      <c r="F1" s="2" t="s">
        <v>72</v>
      </c>
      <c r="G1" s="2" t="s">
        <v>71</v>
      </c>
      <c r="H1" s="2" t="s">
        <v>73</v>
      </c>
      <c r="I1" s="2" t="s">
        <v>71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  <c r="C3" t="s">
        <v>45</v>
      </c>
      <c r="D3" t="s">
        <v>74</v>
      </c>
      <c r="E3" t="s">
        <v>80</v>
      </c>
      <c r="F3" t="s">
        <v>76</v>
      </c>
      <c r="G3" t="s">
        <v>77</v>
      </c>
      <c r="H3" t="s">
        <v>78</v>
      </c>
      <c r="I3" t="s">
        <v>75</v>
      </c>
    </row>
    <row r="4" spans="1:9" x14ac:dyDescent="0.3">
      <c r="A4" t="s">
        <v>6</v>
      </c>
      <c r="B4" t="s">
        <v>7</v>
      </c>
      <c r="C4" t="s">
        <v>46</v>
      </c>
      <c r="D4" t="s">
        <v>79</v>
      </c>
      <c r="E4" t="s">
        <v>80</v>
      </c>
      <c r="F4" t="s">
        <v>81</v>
      </c>
      <c r="G4" t="s">
        <v>77</v>
      </c>
      <c r="H4" t="s">
        <v>82</v>
      </c>
      <c r="I4" t="s">
        <v>77</v>
      </c>
    </row>
    <row r="5" spans="1:9" x14ac:dyDescent="0.3">
      <c r="C5" t="s">
        <v>47</v>
      </c>
      <c r="D5" t="s">
        <v>83</v>
      </c>
      <c r="E5" t="s">
        <v>77</v>
      </c>
      <c r="F5" t="s">
        <v>84</v>
      </c>
      <c r="G5" t="s">
        <v>77</v>
      </c>
      <c r="H5" t="s">
        <v>85</v>
      </c>
      <c r="I5" t="s">
        <v>80</v>
      </c>
    </row>
    <row r="6" spans="1:9" x14ac:dyDescent="0.3">
      <c r="A6" t="s">
        <v>8</v>
      </c>
      <c r="B6" t="s">
        <v>9</v>
      </c>
      <c r="C6" t="s">
        <v>48</v>
      </c>
      <c r="D6" t="s">
        <v>86</v>
      </c>
      <c r="E6" t="s">
        <v>75</v>
      </c>
      <c r="F6" t="s">
        <v>87</v>
      </c>
      <c r="G6" t="s">
        <v>77</v>
      </c>
      <c r="H6" t="s">
        <v>88</v>
      </c>
      <c r="I6" t="s">
        <v>80</v>
      </c>
    </row>
    <row r="7" spans="1:9" x14ac:dyDescent="0.3">
      <c r="A7" t="s">
        <v>10</v>
      </c>
      <c r="B7" t="s">
        <v>11</v>
      </c>
      <c r="C7" t="s">
        <v>49</v>
      </c>
      <c r="D7" t="s">
        <v>89</v>
      </c>
      <c r="E7" t="s">
        <v>77</v>
      </c>
      <c r="F7" t="s">
        <v>90</v>
      </c>
      <c r="G7" t="s">
        <v>77</v>
      </c>
      <c r="H7" t="s">
        <v>91</v>
      </c>
      <c r="I7" t="s">
        <v>77</v>
      </c>
    </row>
    <row r="8" spans="1:9" x14ac:dyDescent="0.3">
      <c r="C8" t="s">
        <v>50</v>
      </c>
      <c r="D8" t="s">
        <v>92</v>
      </c>
      <c r="E8" t="s">
        <v>80</v>
      </c>
      <c r="F8" s="4" t="s">
        <v>93</v>
      </c>
      <c r="G8" t="s">
        <v>75</v>
      </c>
      <c r="H8" t="s">
        <v>94</v>
      </c>
      <c r="I8" t="s">
        <v>75</v>
      </c>
    </row>
    <row r="9" spans="1:9" x14ac:dyDescent="0.3">
      <c r="A9" t="s">
        <v>12</v>
      </c>
      <c r="B9" t="s">
        <v>13</v>
      </c>
      <c r="C9" t="s">
        <v>51</v>
      </c>
      <c r="D9" t="s">
        <v>95</v>
      </c>
      <c r="E9" t="s">
        <v>80</v>
      </c>
      <c r="F9" t="s">
        <v>96</v>
      </c>
      <c r="G9" t="s">
        <v>77</v>
      </c>
      <c r="H9" t="s">
        <v>97</v>
      </c>
      <c r="I9" t="s">
        <v>77</v>
      </c>
    </row>
    <row r="10" spans="1:9" x14ac:dyDescent="0.3">
      <c r="A10" t="s">
        <v>14</v>
      </c>
      <c r="B10" t="s">
        <v>15</v>
      </c>
      <c r="C10" t="s">
        <v>52</v>
      </c>
      <c r="D10" t="s">
        <v>98</v>
      </c>
      <c r="E10" t="s">
        <v>80</v>
      </c>
      <c r="F10" t="s">
        <v>99</v>
      </c>
      <c r="G10" t="s">
        <v>75</v>
      </c>
      <c r="H10" t="s">
        <v>100</v>
      </c>
      <c r="I10" t="s">
        <v>80</v>
      </c>
    </row>
    <row r="11" spans="1:9" x14ac:dyDescent="0.3">
      <c r="C11" t="s">
        <v>53</v>
      </c>
      <c r="D11" t="s">
        <v>101</v>
      </c>
      <c r="E11" t="s">
        <v>75</v>
      </c>
      <c r="F11" t="s">
        <v>102</v>
      </c>
      <c r="G11" t="s">
        <v>103</v>
      </c>
      <c r="H11" t="s">
        <v>107</v>
      </c>
      <c r="I11" t="s">
        <v>75</v>
      </c>
    </row>
    <row r="12" spans="1:9" x14ac:dyDescent="0.3">
      <c r="A12" t="s">
        <v>16</v>
      </c>
      <c r="B12" t="s">
        <v>17</v>
      </c>
      <c r="C12" t="s">
        <v>16</v>
      </c>
      <c r="D12" t="s">
        <v>104</v>
      </c>
      <c r="E12" t="s">
        <v>80</v>
      </c>
      <c r="F12" t="s">
        <v>105</v>
      </c>
      <c r="G12" t="s">
        <v>80</v>
      </c>
      <c r="H12" t="s">
        <v>106</v>
      </c>
      <c r="I12" t="s">
        <v>80</v>
      </c>
    </row>
    <row r="13" spans="1:9" x14ac:dyDescent="0.3">
      <c r="A13" t="s">
        <v>18</v>
      </c>
      <c r="B13" t="s">
        <v>19</v>
      </c>
      <c r="C13" t="s">
        <v>54</v>
      </c>
      <c r="D13" t="s">
        <v>108</v>
      </c>
      <c r="E13" t="s">
        <v>80</v>
      </c>
      <c r="F13" t="s">
        <v>109</v>
      </c>
      <c r="G13" t="s">
        <v>77</v>
      </c>
      <c r="H13" t="s">
        <v>110</v>
      </c>
      <c r="I13" t="s">
        <v>77</v>
      </c>
    </row>
    <row r="14" spans="1:9" x14ac:dyDescent="0.3">
      <c r="A14" t="s">
        <v>20</v>
      </c>
      <c r="B14" t="s">
        <v>21</v>
      </c>
      <c r="C14" t="s">
        <v>55</v>
      </c>
      <c r="D14" t="s">
        <v>111</v>
      </c>
      <c r="E14" t="s">
        <v>103</v>
      </c>
      <c r="F14" t="s">
        <v>112</v>
      </c>
      <c r="G14" t="s">
        <v>75</v>
      </c>
      <c r="H14" t="s">
        <v>113</v>
      </c>
      <c r="I14" t="s">
        <v>77</v>
      </c>
    </row>
    <row r="15" spans="1:9" x14ac:dyDescent="0.3">
      <c r="A15" t="s">
        <v>22</v>
      </c>
      <c r="B15" t="s">
        <v>23</v>
      </c>
      <c r="C15" t="s">
        <v>56</v>
      </c>
      <c r="D15" t="s">
        <v>114</v>
      </c>
      <c r="E15" t="s">
        <v>80</v>
      </c>
      <c r="F15" t="s">
        <v>115</v>
      </c>
      <c r="G15" t="s">
        <v>77</v>
      </c>
      <c r="H15" t="s">
        <v>116</v>
      </c>
      <c r="I15" t="s">
        <v>80</v>
      </c>
    </row>
    <row r="16" spans="1:9" x14ac:dyDescent="0.3">
      <c r="A16" t="s">
        <v>24</v>
      </c>
      <c r="B16" t="s">
        <v>25</v>
      </c>
      <c r="C16" t="s">
        <v>57</v>
      </c>
      <c r="D16" t="s">
        <v>117</v>
      </c>
      <c r="E16" t="s">
        <v>77</v>
      </c>
      <c r="F16" t="s">
        <v>118</v>
      </c>
      <c r="G16" t="s">
        <v>77</v>
      </c>
      <c r="H16" t="s">
        <v>119</v>
      </c>
      <c r="I16" t="s">
        <v>80</v>
      </c>
    </row>
    <row r="17" spans="1:9" x14ac:dyDescent="0.3">
      <c r="C17" t="s">
        <v>58</v>
      </c>
      <c r="D17" t="s">
        <v>120</v>
      </c>
      <c r="E17" t="s">
        <v>77</v>
      </c>
      <c r="F17" t="s">
        <v>121</v>
      </c>
      <c r="G17" t="s">
        <v>75</v>
      </c>
      <c r="I17" t="s">
        <v>122</v>
      </c>
    </row>
    <row r="18" spans="1:9" x14ac:dyDescent="0.3">
      <c r="A18" t="s">
        <v>26</v>
      </c>
      <c r="B18" t="s">
        <v>27</v>
      </c>
      <c r="C18" t="s">
        <v>59</v>
      </c>
      <c r="D18" t="s">
        <v>124</v>
      </c>
      <c r="E18" t="s">
        <v>77</v>
      </c>
      <c r="F18" t="s">
        <v>124</v>
      </c>
      <c r="G18" t="s">
        <v>77</v>
      </c>
      <c r="H18" t="s">
        <v>125</v>
      </c>
      <c r="I18" t="s">
        <v>103</v>
      </c>
    </row>
    <row r="19" spans="1:9" x14ac:dyDescent="0.3">
      <c r="C19" t="s">
        <v>60</v>
      </c>
      <c r="D19" t="s">
        <v>27</v>
      </c>
      <c r="E19" t="s">
        <v>80</v>
      </c>
      <c r="F19" t="s">
        <v>126</v>
      </c>
      <c r="G19" t="s">
        <v>77</v>
      </c>
      <c r="H19" t="s">
        <v>123</v>
      </c>
      <c r="I19" t="s">
        <v>77</v>
      </c>
    </row>
    <row r="20" spans="1:9" x14ac:dyDescent="0.3">
      <c r="A20" t="s">
        <v>28</v>
      </c>
      <c r="B20" t="s">
        <v>29</v>
      </c>
    </row>
    <row r="21" spans="1:9" x14ac:dyDescent="0.3">
      <c r="A21" t="s">
        <v>30</v>
      </c>
      <c r="B21" t="s">
        <v>31</v>
      </c>
      <c r="C21" t="s">
        <v>61</v>
      </c>
      <c r="D21" t="s">
        <v>29</v>
      </c>
      <c r="E21" t="s">
        <v>103</v>
      </c>
      <c r="F21" t="s">
        <v>127</v>
      </c>
      <c r="G21" t="s">
        <v>77</v>
      </c>
      <c r="H21" t="s">
        <v>44</v>
      </c>
      <c r="I21" t="s">
        <v>80</v>
      </c>
    </row>
    <row r="22" spans="1:9" x14ac:dyDescent="0.3">
      <c r="C22" t="s">
        <v>62</v>
      </c>
      <c r="D22" t="s">
        <v>128</v>
      </c>
      <c r="E22" t="s">
        <v>77</v>
      </c>
      <c r="F22" t="s">
        <v>129</v>
      </c>
      <c r="G22" t="s">
        <v>77</v>
      </c>
      <c r="H22" t="s">
        <v>130</v>
      </c>
      <c r="I22" t="s">
        <v>80</v>
      </c>
    </row>
    <row r="23" spans="1:9" x14ac:dyDescent="0.3">
      <c r="A23" t="s">
        <v>32</v>
      </c>
      <c r="B23" t="s">
        <v>33</v>
      </c>
      <c r="C23" t="s">
        <v>63</v>
      </c>
      <c r="D23" t="s">
        <v>131</v>
      </c>
      <c r="E23" t="s">
        <v>80</v>
      </c>
      <c r="F23" t="s">
        <v>132</v>
      </c>
      <c r="G23" t="s">
        <v>77</v>
      </c>
      <c r="H23" t="s">
        <v>133</v>
      </c>
      <c r="I23" t="s">
        <v>77</v>
      </c>
    </row>
    <row r="24" spans="1:9" x14ac:dyDescent="0.3">
      <c r="A24" t="s">
        <v>34</v>
      </c>
      <c r="B24" t="s">
        <v>35</v>
      </c>
      <c r="C24" t="s">
        <v>64</v>
      </c>
      <c r="D24" t="s">
        <v>134</v>
      </c>
      <c r="E24" t="s">
        <v>80</v>
      </c>
      <c r="F24" t="s">
        <v>148</v>
      </c>
      <c r="G24" t="s">
        <v>75</v>
      </c>
      <c r="H24" t="s">
        <v>135</v>
      </c>
      <c r="I24" t="s">
        <v>103</v>
      </c>
    </row>
    <row r="25" spans="1:9" x14ac:dyDescent="0.3">
      <c r="A25" t="s">
        <v>36</v>
      </c>
      <c r="B25" t="s">
        <v>37</v>
      </c>
      <c r="C25" t="s">
        <v>65</v>
      </c>
      <c r="D25" t="s">
        <v>136</v>
      </c>
      <c r="E25" t="s">
        <v>80</v>
      </c>
      <c r="F25" t="s">
        <v>137</v>
      </c>
      <c r="G25" t="s">
        <v>77</v>
      </c>
      <c r="H25" t="s">
        <v>138</v>
      </c>
      <c r="I25" t="s">
        <v>80</v>
      </c>
    </row>
    <row r="26" spans="1:9" x14ac:dyDescent="0.3">
      <c r="A26" t="s">
        <v>38</v>
      </c>
      <c r="B26" t="s">
        <v>39</v>
      </c>
      <c r="C26" t="s">
        <v>66</v>
      </c>
      <c r="D26" t="s">
        <v>139</v>
      </c>
      <c r="E26" t="s">
        <v>80</v>
      </c>
      <c r="F26" t="s">
        <v>140</v>
      </c>
      <c r="G26" t="s">
        <v>77</v>
      </c>
      <c r="H26" t="s">
        <v>141</v>
      </c>
      <c r="I26" t="s">
        <v>77</v>
      </c>
    </row>
    <row r="27" spans="1:9" x14ac:dyDescent="0.3">
      <c r="A27" t="s">
        <v>40</v>
      </c>
      <c r="B27" t="s">
        <v>41</v>
      </c>
      <c r="C27" t="s">
        <v>67</v>
      </c>
      <c r="D27" t="s">
        <v>142</v>
      </c>
      <c r="E27" t="s">
        <v>80</v>
      </c>
      <c r="F27" t="s">
        <v>143</v>
      </c>
      <c r="G27" t="s">
        <v>77</v>
      </c>
      <c r="H27" t="s">
        <v>144</v>
      </c>
      <c r="I27" t="s">
        <v>80</v>
      </c>
    </row>
    <row r="28" spans="1:9" x14ac:dyDescent="0.3">
      <c r="A28" t="s">
        <v>42</v>
      </c>
      <c r="B28" t="s">
        <v>43</v>
      </c>
      <c r="C28" t="s">
        <v>68</v>
      </c>
      <c r="D28" t="s">
        <v>145</v>
      </c>
      <c r="E28" t="s">
        <v>77</v>
      </c>
      <c r="F28" t="s">
        <v>146</v>
      </c>
      <c r="G28" t="s">
        <v>77</v>
      </c>
      <c r="H28" t="s">
        <v>147</v>
      </c>
      <c r="I28" t="s">
        <v>75</v>
      </c>
    </row>
  </sheetData>
  <autoFilter ref="A1:I28" xr:uid="{66E16A78-E543-4518-AFE2-11A99E7AC5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66C0-346E-458F-939A-83EF785B1075}">
  <dimension ref="A1:D9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B1" t="s">
        <v>70</v>
      </c>
      <c r="C1" t="s">
        <v>72</v>
      </c>
      <c r="D1" t="s">
        <v>73</v>
      </c>
    </row>
    <row r="2" spans="1:4" x14ac:dyDescent="0.3">
      <c r="A2" t="s">
        <v>80</v>
      </c>
      <c r="B2">
        <f>COUNTIF(Sheet1!E$2:E$28, "CSM")</f>
        <v>14</v>
      </c>
      <c r="C2">
        <f>COUNTIF(Sheet1!G$2:G$28, "CSM")</f>
        <v>1</v>
      </c>
      <c r="D2">
        <f>COUNTIF(Sheet1!I$2:I$28, "CSM")</f>
        <v>10</v>
      </c>
    </row>
    <row r="3" spans="1:4" x14ac:dyDescent="0.3">
      <c r="A3" t="s">
        <v>75</v>
      </c>
      <c r="B3">
        <f>COUNTIF(Sheet1!E$2:E$28, "CSC")</f>
        <v>2</v>
      </c>
      <c r="C3">
        <f>COUNTIF(Sheet1!G$2:G$28, "CSC")</f>
        <v>5</v>
      </c>
      <c r="D3">
        <f>COUNTIF(Sheet1!I$2:I$28, "CSC")</f>
        <v>4</v>
      </c>
    </row>
    <row r="4" spans="1:4" x14ac:dyDescent="0.3">
      <c r="A4" t="s">
        <v>103</v>
      </c>
      <c r="B4">
        <f>COUNTIF(Sheet1!E$2:E$28, "CSA")</f>
        <v>2</v>
      </c>
      <c r="C4">
        <f>COUNTIF(Sheet1!G$2:G$28, "CSA")</f>
        <v>1</v>
      </c>
      <c r="D4">
        <f>COUNTIF(Sheet1!I$2:I$28, "CSA")</f>
        <v>2</v>
      </c>
    </row>
    <row r="5" spans="1:4" x14ac:dyDescent="0.3">
      <c r="A5" t="s">
        <v>77</v>
      </c>
      <c r="B5">
        <f>COUNTIF(Sheet1!E$2:E$28, "R")</f>
        <v>7</v>
      </c>
      <c r="C5">
        <f>COUNTIF(Sheet1!G$2:G$28, "R")</f>
        <v>18</v>
      </c>
      <c r="D5">
        <f>COUNTIF(Sheet1!I$2:I$28, "R")</f>
        <v>8</v>
      </c>
    </row>
    <row r="6" spans="1:4" x14ac:dyDescent="0.3">
      <c r="A6" t="s">
        <v>122</v>
      </c>
      <c r="B6">
        <f>COUNTIF(Sheet1!E$2:E$28, "O")</f>
        <v>0</v>
      </c>
      <c r="C6">
        <f>COUNTIF(Sheet1!G$2:G$28, "O")</f>
        <v>0</v>
      </c>
      <c r="D6">
        <f>COUNTIF(Sheet1!I$2:I$28, "O")</f>
        <v>1</v>
      </c>
    </row>
    <row r="8" spans="1:4" x14ac:dyDescent="0.3">
      <c r="A8" t="s">
        <v>150</v>
      </c>
      <c r="B8">
        <f>SUM(B2:B4)</f>
        <v>18</v>
      </c>
      <c r="C8">
        <f t="shared" ref="C8:E8" si="0">SUM(C2:C4)</f>
        <v>7</v>
      </c>
      <c r="D8">
        <f t="shared" si="0"/>
        <v>16</v>
      </c>
    </row>
    <row r="9" spans="1:4" x14ac:dyDescent="0.3">
      <c r="A9" t="s">
        <v>149</v>
      </c>
      <c r="B9">
        <f>SUM(B2:B6)</f>
        <v>25</v>
      </c>
      <c r="C9">
        <f>SUM(C2:C6)</f>
        <v>25</v>
      </c>
      <c r="D9">
        <f>SUM(D2:D6)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2025-11-26T12:29:42Z</dcterms:created>
  <dcterms:modified xsi:type="dcterms:W3CDTF">2026-01-28T10:31:14Z</dcterms:modified>
</cp:coreProperties>
</file>