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yokl\Downloads\"/>
    </mc:Choice>
  </mc:AlternateContent>
  <xr:revisionPtr revIDLastSave="0" documentId="13_ncr:1_{9E48E383-1967-4D51-9927-1BDD8C734AE7}" xr6:coauthVersionLast="47" xr6:coauthVersionMax="47" xr10:uidLastSave="{00000000-0000-0000-0000-000000000000}"/>
  <bookViews>
    <workbookView xWindow="11424" yWindow="0" windowWidth="11712" windowHeight="12336" xr2:uid="{1940894E-7809-4B5D-A70A-60DCD6C52CD8}"/>
  </bookViews>
  <sheets>
    <sheet name="Sheet1" sheetId="1" r:id="rId1"/>
    <sheet name="Overview" sheetId="2" r:id="rId2"/>
  </sheets>
  <definedNames>
    <definedName name="_xlnm._FilterDatabase" localSheetId="0" hidden="1">Sheet1!$A$1:$I$22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 l="1"/>
  <c r="H28" i="1"/>
  <c r="H27" i="1"/>
  <c r="H26" i="1"/>
  <c r="H25" i="1"/>
  <c r="F29" i="1"/>
  <c r="F28" i="1"/>
  <c r="F27" i="1"/>
  <c r="F26" i="1"/>
  <c r="F25" i="1"/>
  <c r="D29" i="1"/>
  <c r="D28" i="1"/>
  <c r="D27" i="1"/>
  <c r="D26" i="1"/>
  <c r="D25" i="1"/>
  <c r="D31" i="1" l="1"/>
  <c r="D32" i="1" l="1"/>
  <c r="B5" i="2" s="1"/>
  <c r="B4" i="2"/>
  <c r="B7" i="2"/>
  <c r="B3" i="2"/>
  <c r="B6" i="2" l="1"/>
  <c r="B9" i="2" s="1"/>
  <c r="B16" i="2" s="1"/>
  <c r="F31" i="1" l="1"/>
  <c r="C5" i="2" s="1"/>
  <c r="C7" i="2"/>
  <c r="F32" i="1"/>
  <c r="C4" i="2" s="1"/>
  <c r="C3" i="2"/>
  <c r="C6" i="2" l="1"/>
  <c r="C9" i="2" l="1"/>
  <c r="C16" i="2" s="1"/>
  <c r="H31" i="1"/>
  <c r="D4" i="2" l="1"/>
  <c r="H32" i="1"/>
  <c r="D7" i="2" s="1"/>
  <c r="D5" i="2" l="1"/>
  <c r="D3" i="2"/>
  <c r="D6" i="2" s="1"/>
  <c r="D9" i="2" s="1"/>
  <c r="D16" i="2" s="1"/>
</calcChain>
</file>

<file path=xl/sharedStrings.xml><?xml version="1.0" encoding="utf-8"?>
<sst xmlns="http://schemas.openxmlformats.org/spreadsheetml/2006/main" count="199" uniqueCount="97">
  <si>
    <t>English</t>
  </si>
  <si>
    <t>HT</t>
  </si>
  <si>
    <t>Annotations of UCPs</t>
  </si>
  <si>
    <t>PE</t>
  </si>
  <si>
    <t>MT</t>
  </si>
  <si>
    <t>A thud. The thud.</t>
  </si>
  <si>
    <t>Someone on the second floor was running at a nauseating, inhuman speed.</t>
  </si>
  <si>
    <t>It was as though a magnet were attached to the soles of those feet, and the nickel in my scalp dragged me along for the ride</t>
  </si>
  <si>
    <t>UCP</t>
  </si>
  <si>
    <t>I stopped</t>
  </si>
  <si>
    <t xml:space="preserve">Stopped moving. Breathing. Thinking </t>
  </si>
  <si>
    <t>All functions seem to shut down to divert resources to my eardrums</t>
  </si>
  <si>
    <t>Overhead, there was a flurry of footsteps</t>
  </si>
  <si>
    <t>past the wall of our composites, under the poorly plastered crack in the ceiling, and finally, to the place between the coat closet and the louvered kitchen doors where the footsteps stopped and so did I</t>
  </si>
  <si>
    <t>I was standing in the shadow of the main stairwell, facing the double front doors approximately thirteen feet and two inches in front of me</t>
  </si>
  <si>
    <t>I guessed fifteen feet, but when the detective measured no more than an hour later, I found I’d ever so slightly overshot the distance between us.</t>
  </si>
  <si>
    <t>CSM</t>
  </si>
  <si>
    <t>CSC</t>
  </si>
  <si>
    <t>CSA</t>
  </si>
  <si>
    <t>All CS</t>
  </si>
  <si>
    <t>Reproduction</t>
  </si>
  <si>
    <t>Total</t>
  </si>
  <si>
    <t>#Errors</t>
  </si>
  <si>
    <t>#Errorpoints</t>
  </si>
  <si>
    <t>Kudos</t>
  </si>
  <si>
    <t>#Words</t>
  </si>
  <si>
    <t>CI</t>
  </si>
  <si>
    <t>moving. Breathing.thinking</t>
  </si>
  <si>
    <t>shut down</t>
  </si>
  <si>
    <t>divert resources</t>
  </si>
  <si>
    <t>a flurry of footsteps</t>
  </si>
  <si>
    <t>second floor</t>
  </si>
  <si>
    <t>attached</t>
  </si>
  <si>
    <t>the soles of those feet</t>
  </si>
  <si>
    <t>nickel in my scalp</t>
  </si>
  <si>
    <t>dragged me along for the ride</t>
  </si>
  <si>
    <t>our composites</t>
  </si>
  <si>
    <t>poorly plasered crack</t>
  </si>
  <si>
    <t>the coat closet</t>
  </si>
  <si>
    <t>the louvered kitchen doors</t>
  </si>
  <si>
    <t>the main stairwell</t>
  </si>
  <si>
    <t>the double front doors</t>
  </si>
  <si>
    <t>thirteen feet and two inches</t>
  </si>
  <si>
    <t>fifteen feet</t>
  </si>
  <si>
    <t>ever so slightly</t>
  </si>
  <si>
    <t>overshot</t>
  </si>
  <si>
    <t>Un trompada. La trompada.</t>
  </si>
  <si>
    <t xml:space="preserve">quedessin interrompudes </t>
  </si>
  <si>
    <t>desviar els recursos</t>
  </si>
  <si>
    <t>enrenou de passes</t>
  </si>
  <si>
    <t>segon pis</t>
  </si>
  <si>
    <t>enganxat</t>
  </si>
  <si>
    <t xml:space="preserve">les soles d’aquelles sabates </t>
  </si>
  <si>
    <t>el níquel de la meva closca</t>
  </si>
  <si>
    <t>m’hi arrossegués al darrere</t>
  </si>
  <si>
    <t>retrats</t>
  </si>
  <si>
    <t xml:space="preserve">l’esquerda mal adobada </t>
  </si>
  <si>
    <t>l'armari dels abrics</t>
  </si>
  <si>
    <t>les portes de llibret de la cuina</t>
  </si>
  <si>
    <t>l'escala</t>
  </si>
  <si>
    <t>porta d'entrada de dues ventalles</t>
  </si>
  <si>
    <t>quatre metres i deu centímetres</t>
  </si>
  <si>
    <t>quatre metres i mig</t>
  </si>
  <si>
    <t>sobreestimat</t>
  </si>
  <si>
    <t>res, una mica de no res</t>
  </si>
  <si>
    <t>de moure’m. De respirar. De pensar</t>
  </si>
  <si>
    <t>R</t>
  </si>
  <si>
    <t>Un cop. El cop.</t>
  </si>
  <si>
    <t xml:space="preserve">de moure’m. De respirar. De pensar. </t>
  </si>
  <si>
    <t xml:space="preserve">apagar-se </t>
  </si>
  <si>
    <t>corredisses</t>
  </si>
  <si>
    <t>destinar tots els recursos</t>
  </si>
  <si>
    <t>la sola</t>
  </si>
  <si>
    <t>el níquel que tenia al cuir cabellut</t>
  </si>
  <si>
    <t>arrossegant-me pel níquel…</t>
  </si>
  <si>
    <t>fotos</t>
  </si>
  <si>
    <t>l'esquerda mal enguixada</t>
  </si>
  <si>
    <t>l'escala principal</t>
  </si>
  <si>
    <t>portes dobles de l'entrada</t>
  </si>
  <si>
    <t>lleugerament</t>
  </si>
  <si>
    <t>lligat</t>
  </si>
  <si>
    <t>la sola d'aquells peus</t>
  </si>
  <si>
    <t>el níquel del meu cuir cabellut</t>
  </si>
  <si>
    <t>m'arrossegués amb ell</t>
  </si>
  <si>
    <t>fotografies de grup</t>
  </si>
  <si>
    <t>les portes enreixades de la cuina</t>
  </si>
  <si>
    <t>portes dobles d'entrada</t>
  </si>
  <si>
    <t>tretze peus i dues polzades</t>
  </si>
  <si>
    <t>quinze peus</t>
  </si>
  <si>
    <t>excedit</t>
  </si>
  <si>
    <t>apagar-se</t>
  </si>
  <si>
    <t>"Enreixades" does not mean the same. In fact, it would be really strange to have these kind of doors in the kitchen.</t>
  </si>
  <si>
    <t>comments on MT</t>
  </si>
  <si>
    <r>
      <t>There is an article missing: portes dobles de</t>
    </r>
    <r>
      <rPr>
        <b/>
        <sz val="11"/>
        <color theme="1"/>
        <rFont val="Aptos Narrow"/>
        <family val="2"/>
        <scheme val="minor"/>
      </rPr>
      <t xml:space="preserve"> l'</t>
    </r>
    <r>
      <rPr>
        <sz val="11"/>
        <color theme="1"/>
        <rFont val="Aptos Narrow"/>
        <family val="2"/>
        <scheme val="minor"/>
      </rPr>
      <t>entrada. If we don't have the article then it seems a telegraphic phrase.</t>
    </r>
  </si>
  <si>
    <t>O</t>
  </si>
  <si>
    <t>total CS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</si>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</sst>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wrapText="1"/>
    </xf>
    <xf numFmtId="0" fontId="2" fillId="0" borderId="0" xfId="0" applyFont="1" applyAlignment="1">
      <alignment wrapText="1"/>
    </xf>
    <xf numFmtId="0" fontId="1" fillId="0" borderId="0" xfId="0" applyFont="1"/>
    <xf numFmtId="0" fontId="4" fillId="0" borderId="0" xfId="0" applyFont="1"/>
    <xf numFmtId="0" fontId="4" fillId="0" borderId="0" xfId="0" applyFont="1" applyAlignment="1">
      <alignment vertic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B4DF-3700-4E9D-A302-12AFD316707E}">
  <dimension ref="A1:I35"/>
  <sheetViews>
    <sheetView tabSelected="1" topLeftCell="B21" workbookViewId="0">
      <selection activeCell="G35" sqref="G35"/>
    </sheetView>
  </sheetViews>
  <sheetFormatPr defaultColWidth="9.109375" defaultRowHeight="14.4" x14ac:dyDescent="0.3"/>
  <cols>
    <col min="1" max="1" width="31.88671875" style="2" customWidth="1"/>
    <col min="2" max="2" width="27.5546875" style="2" customWidth="1"/>
    <col min="3" max="3" width="24.6640625" style="6" customWidth="1"/>
    <col min="4" max="4" width="13.33203125" style="2" customWidth="1"/>
    <col min="5" max="5" width="25.88671875" style="6" customWidth="1"/>
    <col min="6" max="6" width="12.88671875" style="2" customWidth="1"/>
    <col min="7" max="7" width="25.33203125" style="6" customWidth="1"/>
    <col min="8" max="8" width="12.33203125" style="2" customWidth="1"/>
    <col min="9" max="9" width="14.109375" style="2" customWidth="1"/>
    <col min="10" max="16384" width="9.109375" style="2"/>
  </cols>
  <sheetData>
    <row r="1" spans="1:9" ht="28.8" x14ac:dyDescent="0.3">
      <c r="A1" s="1" t="s">
        <v>0</v>
      </c>
      <c r="B1" s="2" t="s">
        <v>8</v>
      </c>
      <c r="C1" s="6" t="s">
        <v>1</v>
      </c>
      <c r="D1" s="2" t="s">
        <v>2</v>
      </c>
      <c r="E1" s="6" t="s">
        <v>3</v>
      </c>
      <c r="F1" s="2" t="s">
        <v>2</v>
      </c>
      <c r="G1" s="6" t="s">
        <v>4</v>
      </c>
      <c r="H1" s="2" t="s">
        <v>2</v>
      </c>
      <c r="I1" s="2" t="s">
        <v>92</v>
      </c>
    </row>
    <row r="2" spans="1:9" ht="31.2" x14ac:dyDescent="0.3">
      <c r="A2" s="3" t="s">
        <v>5</v>
      </c>
      <c r="B2" s="4" t="s">
        <v>5</v>
      </c>
      <c r="C2" s="9" t="s">
        <v>46</v>
      </c>
      <c r="D2" s="2" t="s">
        <v>66</v>
      </c>
      <c r="E2" s="8" t="s">
        <v>67</v>
      </c>
      <c r="F2" s="2" t="s">
        <v>66</v>
      </c>
      <c r="G2" s="8" t="s">
        <v>67</v>
      </c>
      <c r="H2" s="2" t="s">
        <v>66</v>
      </c>
    </row>
    <row r="3" spans="1:9" x14ac:dyDescent="0.3">
      <c r="A3" s="5" t="s">
        <v>9</v>
      </c>
    </row>
    <row r="4" spans="1:9" ht="31.2" x14ac:dyDescent="0.3">
      <c r="A4" s="5" t="s">
        <v>10</v>
      </c>
      <c r="B4" s="2" t="s">
        <v>27</v>
      </c>
      <c r="C4" s="10" t="s">
        <v>65</v>
      </c>
      <c r="D4" s="2" t="s">
        <v>66</v>
      </c>
      <c r="E4" s="8" t="s">
        <v>68</v>
      </c>
      <c r="F4" s="2" t="s">
        <v>66</v>
      </c>
      <c r="G4" s="8" t="s">
        <v>68</v>
      </c>
      <c r="H4" s="2" t="s">
        <v>66</v>
      </c>
    </row>
    <row r="5" spans="1:9" ht="31.2" x14ac:dyDescent="0.3">
      <c r="A5" s="5" t="s">
        <v>11</v>
      </c>
      <c r="B5" s="2" t="s">
        <v>28</v>
      </c>
      <c r="C5" s="10" t="s">
        <v>47</v>
      </c>
      <c r="D5" s="2" t="s">
        <v>66</v>
      </c>
      <c r="E5" s="8" t="s">
        <v>69</v>
      </c>
      <c r="F5" s="2" t="s">
        <v>66</v>
      </c>
      <c r="G5" s="6" t="s">
        <v>90</v>
      </c>
      <c r="H5" s="2" t="s">
        <v>66</v>
      </c>
    </row>
    <row r="6" spans="1:9" ht="15.6" x14ac:dyDescent="0.3">
      <c r="B6" s="2" t="s">
        <v>29</v>
      </c>
      <c r="C6" s="10" t="s">
        <v>48</v>
      </c>
      <c r="D6" s="2" t="s">
        <v>66</v>
      </c>
      <c r="E6" s="6" t="s">
        <v>71</v>
      </c>
      <c r="F6" s="2" t="s">
        <v>66</v>
      </c>
      <c r="G6" s="6" t="s">
        <v>71</v>
      </c>
      <c r="H6" s="2" t="s">
        <v>66</v>
      </c>
    </row>
    <row r="7" spans="1:9" ht="28.8" x14ac:dyDescent="0.3">
      <c r="A7" s="5" t="s">
        <v>12</v>
      </c>
      <c r="B7" s="2" t="s">
        <v>30</v>
      </c>
      <c r="C7" s="10" t="s">
        <v>49</v>
      </c>
      <c r="D7" s="2" t="s">
        <v>66</v>
      </c>
      <c r="E7" s="6" t="s">
        <v>70</v>
      </c>
      <c r="F7" s="2" t="s">
        <v>66</v>
      </c>
      <c r="G7" s="6" t="s">
        <v>49</v>
      </c>
      <c r="H7" s="2" t="s">
        <v>66</v>
      </c>
    </row>
    <row r="8" spans="1:9" ht="43.2" x14ac:dyDescent="0.3">
      <c r="A8" s="3" t="s">
        <v>6</v>
      </c>
      <c r="B8" s="2" t="s">
        <v>31</v>
      </c>
      <c r="C8" s="10" t="s">
        <v>50</v>
      </c>
      <c r="D8" s="2" t="s">
        <v>66</v>
      </c>
      <c r="E8" s="6" t="s">
        <v>50</v>
      </c>
      <c r="F8" s="2" t="s">
        <v>66</v>
      </c>
      <c r="G8" s="6" t="s">
        <v>50</v>
      </c>
      <c r="H8" s="2" t="s">
        <v>66</v>
      </c>
    </row>
    <row r="9" spans="1:9" ht="57.6" x14ac:dyDescent="0.3">
      <c r="A9" s="5" t="s">
        <v>7</v>
      </c>
      <c r="B9" s="2" t="s">
        <v>32</v>
      </c>
      <c r="C9" s="10" t="s">
        <v>51</v>
      </c>
      <c r="D9" s="2" t="s">
        <v>66</v>
      </c>
      <c r="E9" s="6" t="s">
        <v>51</v>
      </c>
      <c r="F9" s="2" t="s">
        <v>66</v>
      </c>
      <c r="G9" s="6" t="s">
        <v>80</v>
      </c>
      <c r="H9" s="2" t="s">
        <v>66</v>
      </c>
    </row>
    <row r="10" spans="1:9" ht="31.2" x14ac:dyDescent="0.3">
      <c r="A10" s="5"/>
      <c r="B10" s="2" t="s">
        <v>33</v>
      </c>
      <c r="C10" s="10" t="s">
        <v>52</v>
      </c>
      <c r="D10" s="2" t="s">
        <v>66</v>
      </c>
      <c r="E10" s="6" t="s">
        <v>72</v>
      </c>
      <c r="F10" s="2" t="s">
        <v>66</v>
      </c>
      <c r="G10" s="6" t="s">
        <v>81</v>
      </c>
      <c r="H10" s="2" t="s">
        <v>66</v>
      </c>
    </row>
    <row r="11" spans="1:9" ht="31.2" x14ac:dyDescent="0.3">
      <c r="A11" s="5"/>
      <c r="B11" s="2" t="s">
        <v>34</v>
      </c>
      <c r="C11" s="10" t="s">
        <v>53</v>
      </c>
      <c r="D11" s="2" t="s">
        <v>66</v>
      </c>
      <c r="E11" s="6" t="s">
        <v>73</v>
      </c>
      <c r="F11" s="2" t="s">
        <v>66</v>
      </c>
      <c r="G11" s="6" t="s">
        <v>82</v>
      </c>
      <c r="H11" s="2" t="s">
        <v>66</v>
      </c>
    </row>
    <row r="12" spans="1:9" ht="31.2" x14ac:dyDescent="0.3">
      <c r="A12" s="5"/>
      <c r="B12" s="2" t="s">
        <v>35</v>
      </c>
      <c r="C12" s="10" t="s">
        <v>54</v>
      </c>
      <c r="D12" s="2" t="s">
        <v>66</v>
      </c>
      <c r="E12" s="6" t="s">
        <v>74</v>
      </c>
      <c r="F12" s="2" t="s">
        <v>66</v>
      </c>
      <c r="G12" s="6" t="s">
        <v>83</v>
      </c>
      <c r="H12" s="2" t="s">
        <v>66</v>
      </c>
    </row>
    <row r="13" spans="1:9" ht="86.4" x14ac:dyDescent="0.3">
      <c r="A13" s="5" t="s">
        <v>13</v>
      </c>
      <c r="B13" s="2" t="s">
        <v>36</v>
      </c>
      <c r="C13" s="10" t="s">
        <v>55</v>
      </c>
      <c r="D13" s="2" t="s">
        <v>66</v>
      </c>
      <c r="E13" s="6" t="s">
        <v>75</v>
      </c>
      <c r="F13" s="2" t="s">
        <v>66</v>
      </c>
      <c r="G13" s="6" t="s">
        <v>84</v>
      </c>
      <c r="H13" s="2" t="s">
        <v>66</v>
      </c>
    </row>
    <row r="14" spans="1:9" ht="15.6" x14ac:dyDescent="0.3">
      <c r="A14" s="5"/>
      <c r="B14" s="2" t="s">
        <v>37</v>
      </c>
      <c r="C14" s="10" t="s">
        <v>56</v>
      </c>
      <c r="D14" s="2" t="s">
        <v>66</v>
      </c>
      <c r="E14" s="6" t="s">
        <v>76</v>
      </c>
      <c r="F14" s="2" t="s">
        <v>66</v>
      </c>
      <c r="G14" s="6" t="s">
        <v>76</v>
      </c>
      <c r="H14" s="2" t="s">
        <v>66</v>
      </c>
    </row>
    <row r="15" spans="1:9" x14ac:dyDescent="0.3">
      <c r="A15" s="5"/>
      <c r="B15" s="2" t="s">
        <v>38</v>
      </c>
      <c r="C15" s="6" t="s">
        <v>57</v>
      </c>
      <c r="D15" s="2" t="s">
        <v>66</v>
      </c>
      <c r="E15" s="6" t="s">
        <v>57</v>
      </c>
      <c r="F15" s="2" t="s">
        <v>66</v>
      </c>
      <c r="G15" s="6" t="s">
        <v>57</v>
      </c>
      <c r="H15" s="2" t="s">
        <v>66</v>
      </c>
    </row>
    <row r="16" spans="1:9" ht="115.2" x14ac:dyDescent="0.3">
      <c r="A16" s="5"/>
      <c r="B16" s="2" t="s">
        <v>39</v>
      </c>
      <c r="C16" s="6" t="s">
        <v>58</v>
      </c>
      <c r="D16" s="2" t="s">
        <v>66</v>
      </c>
      <c r="E16" s="6" t="s">
        <v>58</v>
      </c>
      <c r="F16" s="2" t="s">
        <v>66</v>
      </c>
      <c r="G16" s="6" t="s">
        <v>85</v>
      </c>
      <c r="H16" s="2" t="s">
        <v>66</v>
      </c>
      <c r="I16" s="2" t="s">
        <v>91</v>
      </c>
    </row>
    <row r="17" spans="1:9" ht="57.6" x14ac:dyDescent="0.3">
      <c r="A17" s="5" t="s">
        <v>14</v>
      </c>
      <c r="B17" s="2" t="s">
        <v>40</v>
      </c>
      <c r="C17" s="6" t="s">
        <v>59</v>
      </c>
      <c r="D17" s="2" t="s">
        <v>66</v>
      </c>
      <c r="E17" s="6" t="s">
        <v>77</v>
      </c>
      <c r="F17" s="2" t="s">
        <v>66</v>
      </c>
      <c r="G17" s="6" t="s">
        <v>77</v>
      </c>
      <c r="H17" s="2" t="s">
        <v>66</v>
      </c>
    </row>
    <row r="18" spans="1:9" ht="129.6" x14ac:dyDescent="0.3">
      <c r="A18" s="5"/>
      <c r="B18" s="2" t="s">
        <v>41</v>
      </c>
      <c r="C18" s="6" t="s">
        <v>60</v>
      </c>
      <c r="D18" s="2" t="s">
        <v>66</v>
      </c>
      <c r="E18" s="6" t="s">
        <v>78</v>
      </c>
      <c r="F18" s="2" t="s">
        <v>66</v>
      </c>
      <c r="G18" s="6" t="s">
        <v>86</v>
      </c>
      <c r="H18" s="2" t="s">
        <v>66</v>
      </c>
      <c r="I18" s="2" t="s">
        <v>93</v>
      </c>
    </row>
    <row r="19" spans="1:9" ht="28.8" x14ac:dyDescent="0.3">
      <c r="A19" s="5"/>
      <c r="B19" s="2" t="s">
        <v>42</v>
      </c>
      <c r="C19" s="6" t="s">
        <v>61</v>
      </c>
      <c r="D19" s="2" t="s">
        <v>16</v>
      </c>
      <c r="E19" s="6" t="s">
        <v>61</v>
      </c>
      <c r="F19" s="2" t="s">
        <v>16</v>
      </c>
      <c r="G19" s="6" t="s">
        <v>87</v>
      </c>
      <c r="H19" s="2" t="s">
        <v>66</v>
      </c>
    </row>
    <row r="20" spans="1:9" ht="72" x14ac:dyDescent="0.3">
      <c r="A20" s="3" t="s">
        <v>15</v>
      </c>
      <c r="B20" s="2" t="s">
        <v>43</v>
      </c>
      <c r="C20" s="6" t="s">
        <v>62</v>
      </c>
      <c r="D20" s="2" t="s">
        <v>16</v>
      </c>
      <c r="E20" s="6" t="s">
        <v>62</v>
      </c>
      <c r="F20" s="2" t="s">
        <v>16</v>
      </c>
      <c r="G20" s="6" t="s">
        <v>88</v>
      </c>
      <c r="H20" s="2" t="s">
        <v>66</v>
      </c>
    </row>
    <row r="21" spans="1:9" ht="15.6" x14ac:dyDescent="0.3">
      <c r="A21" s="1"/>
      <c r="B21" s="2" t="s">
        <v>44</v>
      </c>
      <c r="C21" s="10" t="s">
        <v>64</v>
      </c>
      <c r="D21" s="2" t="s">
        <v>16</v>
      </c>
      <c r="E21" s="6" t="s">
        <v>79</v>
      </c>
      <c r="F21" s="2" t="s">
        <v>66</v>
      </c>
      <c r="G21" s="6" t="s">
        <v>79</v>
      </c>
      <c r="H21" s="2" t="s">
        <v>66</v>
      </c>
    </row>
    <row r="22" spans="1:9" x14ac:dyDescent="0.3">
      <c r="A22" s="1"/>
      <c r="B22" s="2" t="s">
        <v>45</v>
      </c>
      <c r="C22" s="6" t="s">
        <v>63</v>
      </c>
      <c r="D22" s="2" t="s">
        <v>66</v>
      </c>
      <c r="E22" s="6" t="s">
        <v>63</v>
      </c>
      <c r="F22" s="2" t="s">
        <v>66</v>
      </c>
      <c r="G22" s="6" t="s">
        <v>89</v>
      </c>
      <c r="H22" s="2" t="s">
        <v>66</v>
      </c>
    </row>
    <row r="25" spans="1:9" x14ac:dyDescent="0.3">
      <c r="C25" s="2" t="s">
        <v>16</v>
      </c>
      <c r="D25" s="2">
        <f>COUNTIF(D$2:D$22, "CSM")</f>
        <v>3</v>
      </c>
      <c r="E25" s="2" t="s">
        <v>16</v>
      </c>
      <c r="F25" s="2">
        <f>COUNTIF(F$2:F$22, "CSM")</f>
        <v>2</v>
      </c>
      <c r="G25" s="2" t="s">
        <v>16</v>
      </c>
      <c r="H25" s="2">
        <f>COUNTIF(H$2:H$22, "CSM")</f>
        <v>0</v>
      </c>
    </row>
    <row r="26" spans="1:9" x14ac:dyDescent="0.3">
      <c r="C26" s="2" t="s">
        <v>17</v>
      </c>
      <c r="D26" s="2">
        <f>COUNTIF(D$2:D$22, "CSC")</f>
        <v>0</v>
      </c>
      <c r="E26" s="2" t="s">
        <v>17</v>
      </c>
      <c r="F26" s="2">
        <f>COUNTIF(F$2:F$22, "CSC")</f>
        <v>0</v>
      </c>
      <c r="G26" s="2" t="s">
        <v>17</v>
      </c>
      <c r="H26" s="2">
        <f>COUNTIF(H$2:H$22, "CSC")</f>
        <v>0</v>
      </c>
    </row>
    <row r="27" spans="1:9" x14ac:dyDescent="0.3">
      <c r="C27" s="2" t="s">
        <v>18</v>
      </c>
      <c r="D27" s="2">
        <f>COUNTIF(D$2:D$22, "CSA")</f>
        <v>0</v>
      </c>
      <c r="E27" s="2" t="s">
        <v>18</v>
      </c>
      <c r="F27" s="2">
        <f>COUNTIF(F$2:F$22, "CSA")</f>
        <v>0</v>
      </c>
      <c r="G27" s="2" t="s">
        <v>18</v>
      </c>
      <c r="H27" s="2">
        <f>COUNTIF(H$2:H$22, "CSA")</f>
        <v>0</v>
      </c>
    </row>
    <row r="28" spans="1:9" x14ac:dyDescent="0.3">
      <c r="C28" s="2" t="s">
        <v>66</v>
      </c>
      <c r="D28" s="2">
        <f>COUNTIF(D$2:D$22, "R")</f>
        <v>17</v>
      </c>
      <c r="E28" s="2" t="s">
        <v>66</v>
      </c>
      <c r="F28" s="2">
        <f>COUNTIF(F$2:F$22, "R")</f>
        <v>18</v>
      </c>
      <c r="G28" s="2" t="s">
        <v>66</v>
      </c>
      <c r="H28" s="2">
        <f>COUNTIF(H$2:H$22, "R")</f>
        <v>20</v>
      </c>
    </row>
    <row r="29" spans="1:9" x14ac:dyDescent="0.3">
      <c r="C29" s="2" t="s">
        <v>94</v>
      </c>
      <c r="D29" s="2">
        <f>COUNTIF(D$2:D$22, "O")</f>
        <v>0</v>
      </c>
      <c r="E29" s="2" t="s">
        <v>94</v>
      </c>
      <c r="F29" s="2">
        <f>COUNTIF(F$2:F$22, "O")</f>
        <v>0</v>
      </c>
      <c r="G29" s="2" t="s">
        <v>94</v>
      </c>
      <c r="H29" s="2">
        <f>COUNTIF(H$2:H$22, "O")</f>
        <v>0</v>
      </c>
    </row>
    <row r="30" spans="1:9" x14ac:dyDescent="0.3">
      <c r="C30" s="2"/>
      <c r="E30" s="2"/>
      <c r="G30" s="2"/>
    </row>
    <row r="31" spans="1:9" x14ac:dyDescent="0.3">
      <c r="C31" s="2" t="s">
        <v>95</v>
      </c>
      <c r="D31" s="2">
        <f>SUM(D25:D27)</f>
        <v>3</v>
      </c>
      <c r="E31" s="2" t="s">
        <v>95</v>
      </c>
      <c r="F31" s="2">
        <f>SUM(F25:F27)</f>
        <v>2</v>
      </c>
      <c r="G31" s="2" t="s">
        <v>95</v>
      </c>
      <c r="H31" s="2">
        <f>SUM(H25:H27)</f>
        <v>0</v>
      </c>
    </row>
    <row r="32" spans="1:9" x14ac:dyDescent="0.3">
      <c r="C32" s="2" t="s">
        <v>96</v>
      </c>
      <c r="D32" s="2">
        <f>SUM(D25:D29)</f>
        <v>20</v>
      </c>
      <c r="E32" s="2" t="s">
        <v>96</v>
      </c>
      <c r="F32" s="2">
        <f>SUM(F25:F29)</f>
        <v>20</v>
      </c>
      <c r="G32" s="2" t="s">
        <v>96</v>
      </c>
      <c r="H32" s="2">
        <f>SUM(H25:H29)</f>
        <v>20</v>
      </c>
    </row>
    <row r="35" spans="3:7" x14ac:dyDescent="0.3">
      <c r="C35" s="5" t="s">
        <v>1</v>
      </c>
      <c r="E35" s="5" t="s">
        <v>3</v>
      </c>
      <c r="G35" s="5" t="s">
        <v>4</v>
      </c>
    </row>
  </sheetData>
  <autoFilter ref="A1:I22" xr:uid="{00EDB4DF-3700-4E9D-A302-12AFD316707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3EFD-C4F1-415F-9857-29C07EABD444}">
  <dimension ref="A2:D16"/>
  <sheetViews>
    <sheetView workbookViewId="0">
      <selection activeCell="B6" sqref="B6"/>
    </sheetView>
  </sheetViews>
  <sheetFormatPr defaultColWidth="9.109375" defaultRowHeight="14.4" x14ac:dyDescent="0.3"/>
  <sheetData>
    <row r="2" spans="1:4" x14ac:dyDescent="0.3">
      <c r="B2" t="s">
        <v>1</v>
      </c>
      <c r="C2" t="s">
        <v>3</v>
      </c>
      <c r="D2" t="s">
        <v>4</v>
      </c>
    </row>
    <row r="3" spans="1:4" x14ac:dyDescent="0.3">
      <c r="A3" t="s">
        <v>16</v>
      </c>
      <c r="B3">
        <f>COUNTIF(Sheet1!$D$2:$D$37, "CSM")</f>
        <v>3</v>
      </c>
      <c r="C3">
        <f>COUNTIF(Sheet1!$F$2:$F$37, "CSM")</f>
        <v>2</v>
      </c>
      <c r="D3">
        <f>COUNTIF(Sheet1!$H$2:$H$37, "CSM")</f>
        <v>0</v>
      </c>
    </row>
    <row r="4" spans="1:4" x14ac:dyDescent="0.3">
      <c r="A4" t="s">
        <v>18</v>
      </c>
      <c r="B4">
        <f>COUNTIF(Sheet1!$D$2:$D$37, "CSA")</f>
        <v>0</v>
      </c>
      <c r="C4">
        <f>COUNTIF(Sheet1!$F$2:$F$37, "CSa")</f>
        <v>0</v>
      </c>
      <c r="D4">
        <f>COUNTIF(Sheet1!$H$2:$H$37, "CSA")</f>
        <v>0</v>
      </c>
    </row>
    <row r="5" spans="1:4" x14ac:dyDescent="0.3">
      <c r="A5" t="s">
        <v>17</v>
      </c>
      <c r="B5">
        <f>COUNTIF(Sheet1!$D$2:$D$37, "CSC")</f>
        <v>0</v>
      </c>
      <c r="C5">
        <f>COUNTIF(Sheet1!$F$2:$F$37, "CSc")</f>
        <v>0</v>
      </c>
      <c r="D5">
        <f>COUNTIF(Sheet1!$H$2:$H$37, "CSC")</f>
        <v>0</v>
      </c>
    </row>
    <row r="6" spans="1:4" x14ac:dyDescent="0.3">
      <c r="A6" t="s">
        <v>19</v>
      </c>
      <c r="B6">
        <f>SUM(B3:B5)</f>
        <v>3</v>
      </c>
      <c r="C6">
        <f>SUM(C3:C5)</f>
        <v>2</v>
      </c>
      <c r="D6">
        <f>SUM(D3:D5)</f>
        <v>0</v>
      </c>
    </row>
    <row r="7" spans="1:4" x14ac:dyDescent="0.3">
      <c r="A7" t="s">
        <v>20</v>
      </c>
      <c r="B7">
        <f>COUNTIF(Sheet1!$D$2:$D$37, "R")</f>
        <v>17</v>
      </c>
      <c r="C7">
        <f>COUNTIF(Sheet1!$F$2:$F$37, "R")</f>
        <v>18</v>
      </c>
      <c r="D7">
        <f>COUNTIF(Sheet1!$H$2:$H$37, "R")</f>
        <v>20</v>
      </c>
    </row>
    <row r="9" spans="1:4" x14ac:dyDescent="0.3">
      <c r="A9" s="7" t="s">
        <v>21</v>
      </c>
      <c r="B9">
        <f>SUM(B6:B7)</f>
        <v>20</v>
      </c>
      <c r="C9">
        <f>SUM(C6:C7)</f>
        <v>20</v>
      </c>
      <c r="D9">
        <f>SUM(D6:D7)</f>
        <v>20</v>
      </c>
    </row>
    <row r="11" spans="1:4" x14ac:dyDescent="0.3">
      <c r="A11" t="s">
        <v>22</v>
      </c>
      <c r="B11">
        <v>3</v>
      </c>
      <c r="C11">
        <v>11</v>
      </c>
      <c r="D11">
        <v>18</v>
      </c>
    </row>
    <row r="12" spans="1:4" x14ac:dyDescent="0.3">
      <c r="A12" t="s">
        <v>23</v>
      </c>
      <c r="B12">
        <v>3</v>
      </c>
      <c r="C12">
        <v>11</v>
      </c>
      <c r="D12">
        <v>22</v>
      </c>
    </row>
    <row r="13" spans="1:4" x14ac:dyDescent="0.3">
      <c r="A13" t="s">
        <v>24</v>
      </c>
      <c r="B13">
        <v>0</v>
      </c>
      <c r="C13">
        <v>0</v>
      </c>
      <c r="D13">
        <v>0</v>
      </c>
    </row>
    <row r="14" spans="1:4" x14ac:dyDescent="0.3">
      <c r="A14" t="s">
        <v>25</v>
      </c>
      <c r="B14">
        <v>154</v>
      </c>
      <c r="C14">
        <v>154</v>
      </c>
      <c r="D14">
        <v>154</v>
      </c>
    </row>
    <row r="16" spans="1:4" x14ac:dyDescent="0.3">
      <c r="A16" s="7" t="s">
        <v>26</v>
      </c>
      <c r="B16">
        <f>((B6/B9)-((B12-B13)/B14))*100</f>
        <v>13.051948051948051</v>
      </c>
      <c r="C16">
        <f t="shared" ref="C16:D16" si="0">((C6/C9)-((C12-C13)/C14))*100</f>
        <v>2.8571428571428581</v>
      </c>
      <c r="D16">
        <f t="shared" si="0"/>
        <v>-14.285714285714285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Kyo Gerrits</dc:creator>
  <cp:lastModifiedBy>Kyo Gerrits</cp:lastModifiedBy>
  <dcterms:created xsi:type="dcterms:W3CDTF">2025-09-04T05:59:12Z</dcterms:created>
  <dcterms:modified xsi:type="dcterms:W3CDTF">2026-01-28T11:28:15Z</dcterms:modified>
</cp:coreProperties>
</file>