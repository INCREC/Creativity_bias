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67dfbcd80f181300/Documents/Uni/PhD/WP3/UCP analyse/To Dutch/"/>
    </mc:Choice>
  </mc:AlternateContent>
  <xr:revisionPtr revIDLastSave="127" documentId="8_{5D4BF9B5-29CD-4146-B41F-2D2616A11838}" xr6:coauthVersionLast="47" xr6:coauthVersionMax="47" xr10:uidLastSave="{13B69493-D374-4341-A1CC-11D5DBD4298F}"/>
  <bookViews>
    <workbookView xWindow="-108" yWindow="-108" windowWidth="23256" windowHeight="12456" xr2:uid="{1940894E-7809-4B5D-A70A-60DCD6C52CD8}"/>
  </bookViews>
  <sheets>
    <sheet name="Sheet1" sheetId="1" r:id="rId1"/>
    <sheet name="CI_new" sheetId="3" r:id="rId2"/>
    <sheet name="Overview_old"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3" l="1"/>
  <c r="C6" i="3"/>
  <c r="B6" i="3"/>
  <c r="D4" i="3"/>
  <c r="C4" i="3"/>
  <c r="B4" i="3"/>
  <c r="D3" i="3"/>
  <c r="C3" i="3"/>
  <c r="B3" i="3"/>
  <c r="D2" i="3"/>
  <c r="D5" i="3" s="1"/>
  <c r="C2" i="3"/>
  <c r="C5" i="3" s="1"/>
  <c r="B2" i="3"/>
  <c r="B5" i="3" s="1"/>
  <c r="B16" i="2"/>
  <c r="D16" i="2"/>
  <c r="C16" i="2"/>
  <c r="D5" i="2"/>
  <c r="D4" i="2"/>
  <c r="D7" i="2"/>
  <c r="D3" i="2"/>
  <c r="C5" i="2"/>
  <c r="C4" i="2"/>
  <c r="C7" i="2"/>
  <c r="C3" i="2"/>
  <c r="B3" i="2"/>
  <c r="B7" i="2"/>
  <c r="B5" i="2"/>
  <c r="B4" i="2"/>
  <c r="B8" i="3" l="1"/>
  <c r="B15" i="3" s="1"/>
  <c r="C8" i="3"/>
  <c r="C15" i="3" s="1"/>
  <c r="D8" i="3"/>
  <c r="D15" i="3" s="1"/>
  <c r="B6" i="2"/>
  <c r="B9" i="2" s="1"/>
  <c r="D6" i="2"/>
  <c r="D9" i="2" s="1"/>
  <c r="C6" i="2"/>
  <c r="C9" i="2" s="1"/>
</calcChain>
</file>

<file path=xl/sharedStrings.xml><?xml version="1.0" encoding="utf-8"?>
<sst xmlns="http://schemas.openxmlformats.org/spreadsheetml/2006/main" count="186" uniqueCount="93">
  <si>
    <t>English</t>
  </si>
  <si>
    <t>HT</t>
  </si>
  <si>
    <t>Annotations of UCPs</t>
  </si>
  <si>
    <t>PE</t>
  </si>
  <si>
    <t>MT</t>
  </si>
  <si>
    <t>A thud. The thud.</t>
  </si>
  <si>
    <t>Someone on the second floor was running at a nauseating, inhuman speed.</t>
  </si>
  <si>
    <t>It was as though a magnet were attached to the soles of those feet, and the nickel in my scalp dragged me along for the ride</t>
  </si>
  <si>
    <t>UCP</t>
  </si>
  <si>
    <t>I stopped</t>
  </si>
  <si>
    <t xml:space="preserve">Stopped moving. Breathing. Thinking </t>
  </si>
  <si>
    <t>All functions seem to shut down to divert resources to my eardrums</t>
  </si>
  <si>
    <t>divert resources</t>
  </si>
  <si>
    <t>Overhead, there was a flurry of footsteps</t>
  </si>
  <si>
    <t>a flurry of footsteps</t>
  </si>
  <si>
    <t>second floor</t>
  </si>
  <si>
    <t>attached</t>
  </si>
  <si>
    <t>the soles of those feet</t>
  </si>
  <si>
    <t>nickel in my scalp</t>
  </si>
  <si>
    <t>dragged me along for the ride</t>
  </si>
  <si>
    <t>past the wall of our composites, under the poorly plastered crack in the ceiling, and finally, to the place between the coat closet and the louvered kitchen doors where the footsteps stopped and so did I</t>
  </si>
  <si>
    <t>our composites</t>
  </si>
  <si>
    <t>the louvered kitchen doors</t>
  </si>
  <si>
    <t>I was standing in the shadow of the main stairwell, facing the double front doors approximately thirteen feet and two inches in front of me</t>
  </si>
  <si>
    <t>the main stairwell</t>
  </si>
  <si>
    <t>the double front doors</t>
  </si>
  <si>
    <t>thirteen feet and two inches</t>
  </si>
  <si>
    <t>I guessed fifteen feet, but when the detective measured no more than an hour later, I found I’d ever so slightly overshot the distance between us.</t>
  </si>
  <si>
    <t>fifteen feet</t>
  </si>
  <si>
    <t>ever so slightly</t>
  </si>
  <si>
    <t>overshot</t>
  </si>
  <si>
    <t>moving. Breathing.thinking</t>
  </si>
  <si>
    <t xml:space="preserve">met bewegen. Met ademen. Met denken. </t>
  </si>
  <si>
    <t>hun vermogen … te sturen</t>
  </si>
  <si>
    <t>een wirwar van voetstappen</t>
  </si>
  <si>
    <t>eerste verdieping</t>
  </si>
  <si>
    <t>hadden</t>
  </si>
  <si>
    <t>de schoenzolen … in de hakken</t>
  </si>
  <si>
    <t>een muntje in mijn hoofdhuid</t>
  </si>
  <si>
    <t>meegetrokken</t>
  </si>
  <si>
    <t>montagefoto's</t>
  </si>
  <si>
    <t>slecht geplamuurde barst</t>
  </si>
  <si>
    <t>the coat closet</t>
  </si>
  <si>
    <t>de garderobe voor jassen</t>
  </si>
  <si>
    <t>saloondeurtjes</t>
  </si>
  <si>
    <t>hoofdtrappenhuis</t>
  </si>
  <si>
    <t>dubbele voordeur</t>
  </si>
  <si>
    <t>vier meter en één centimeter</t>
  </si>
  <si>
    <t>vierenhalve meter</t>
  </si>
  <si>
    <t>een fractie</t>
  </si>
  <si>
    <t>te ruim had ingeschat</t>
  </si>
  <si>
    <t>Een dreun. Dé dreun</t>
  </si>
  <si>
    <t>met bewegen. Met ademen. Met denken</t>
  </si>
  <si>
    <t>de vrijgekomen energie zich kon concentreren</t>
  </si>
  <si>
    <t>geroffel van voetstappen</t>
  </si>
  <si>
    <t>vastzat</t>
  </si>
  <si>
    <t>die voeten</t>
  </si>
  <si>
    <t>het ijzer in mijnbloed</t>
  </si>
  <si>
    <t>erachteraan trok</t>
  </si>
  <si>
    <t>groepsfoto's</t>
  </si>
  <si>
    <t>de slordig dichtgeplamuurde scheur</t>
  </si>
  <si>
    <t>halkast</t>
  </si>
  <si>
    <t>keukenluiken</t>
  </si>
  <si>
    <t>hoofdtrap</t>
  </si>
  <si>
    <t>vier meter</t>
  </si>
  <si>
    <t>vijf</t>
  </si>
  <si>
    <t>net iets</t>
  </si>
  <si>
    <t>te groot had ingeschat</t>
  </si>
  <si>
    <t>Een dreun. Dé dreun.</t>
  </si>
  <si>
    <t>alsof mijn hele lichaam …. Alleen</t>
  </si>
  <si>
    <t>voetstappen--een razende stroom</t>
  </si>
  <si>
    <t>tweede verdieping</t>
  </si>
  <si>
    <t>het ijzer in mijn bloed</t>
  </si>
  <si>
    <t>de scheur in het plafond die slordig was dichtgeplamuurd</t>
  </si>
  <si>
    <t>kapstok</t>
  </si>
  <si>
    <r>
      <t xml:space="preserve">Een bonk. </t>
    </r>
    <r>
      <rPr>
        <i/>
        <sz val="11"/>
        <color theme="1"/>
        <rFont val="Calibri"/>
        <family val="2"/>
      </rPr>
      <t xml:space="preserve">De </t>
    </r>
    <r>
      <rPr>
        <sz val="11"/>
        <color theme="1"/>
        <rFont val="Calibri"/>
        <family val="2"/>
      </rPr>
      <t>bonk.</t>
    </r>
  </si>
  <si>
    <t>R</t>
  </si>
  <si>
    <t>CSM</t>
  </si>
  <si>
    <t>CSC</t>
  </si>
  <si>
    <t>CSA</t>
  </si>
  <si>
    <t>poorly plasered crack</t>
  </si>
  <si>
    <t>All CS</t>
  </si>
  <si>
    <t>Reproduction</t>
  </si>
  <si>
    <t>Total</t>
  </si>
  <si>
    <t>shut down</t>
  </si>
  <si>
    <t>op pauze te gaan</t>
  </si>
  <si>
    <t>uit te vallen</t>
  </si>
  <si>
    <t>Alles viel stil</t>
  </si>
  <si>
    <t>#Errors</t>
  </si>
  <si>
    <t>#Errorpoints</t>
  </si>
  <si>
    <t>Kudos</t>
  </si>
  <si>
    <t>#Words</t>
  </si>
  <si>
    <t>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</si>
</sst>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i/>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wrapText="1"/>
    </xf>
    <xf numFmtId="0" fontId="2"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B4DF-3700-4E9D-A302-12AFD316707E}">
  <dimension ref="A1:H22"/>
  <sheetViews>
    <sheetView tabSelected="1" topLeftCell="A8" workbookViewId="0">
      <selection activeCell="B15" sqref="B15:H15"/>
    </sheetView>
  </sheetViews>
  <sheetFormatPr defaultRowHeight="14.4" x14ac:dyDescent="0.3"/>
  <cols>
    <col min="1" max="1" width="31.88671875" customWidth="1"/>
    <col min="2" max="2" width="27.5546875" customWidth="1"/>
    <col min="3" max="3" width="24.6640625" style="6" customWidth="1"/>
    <col min="4" max="4" width="13.21875" customWidth="1"/>
    <col min="5" max="5" width="25.88671875" style="6" customWidth="1"/>
    <col min="6" max="6" width="12.88671875" customWidth="1"/>
    <col min="7" max="7" width="25.33203125" style="6" customWidth="1"/>
    <col min="8" max="8" width="12.33203125" customWidth="1"/>
  </cols>
  <sheetData>
    <row r="1" spans="1:8" ht="28.8" x14ac:dyDescent="0.3">
      <c r="A1" s="1" t="s">
        <v>0</v>
      </c>
      <c r="B1" t="s">
        <v>8</v>
      </c>
      <c r="C1" s="6" t="s">
        <v>1</v>
      </c>
      <c r="D1" s="2" t="s">
        <v>2</v>
      </c>
      <c r="E1" s="6" t="s">
        <v>3</v>
      </c>
      <c r="F1" s="2" t="s">
        <v>2</v>
      </c>
      <c r="G1" s="6" t="s">
        <v>4</v>
      </c>
      <c r="H1" s="2" t="s">
        <v>2</v>
      </c>
    </row>
    <row r="2" spans="1:8" x14ac:dyDescent="0.3">
      <c r="A2" s="3" t="s">
        <v>5</v>
      </c>
      <c r="B2" s="4" t="s">
        <v>5</v>
      </c>
      <c r="C2" s="4" t="s">
        <v>75</v>
      </c>
      <c r="D2" t="s">
        <v>77</v>
      </c>
      <c r="E2" s="6" t="s">
        <v>51</v>
      </c>
      <c r="F2" t="s">
        <v>76</v>
      </c>
      <c r="G2" s="6" t="s">
        <v>68</v>
      </c>
      <c r="H2" t="s">
        <v>76</v>
      </c>
    </row>
    <row r="3" spans="1:8" x14ac:dyDescent="0.3">
      <c r="A3" s="5" t="s">
        <v>9</v>
      </c>
    </row>
    <row r="4" spans="1:8" ht="28.8" x14ac:dyDescent="0.3">
      <c r="A4" s="5" t="s">
        <v>10</v>
      </c>
      <c r="B4" t="s">
        <v>31</v>
      </c>
      <c r="C4" s="6" t="s">
        <v>32</v>
      </c>
      <c r="D4" t="s">
        <v>76</v>
      </c>
      <c r="E4" s="6" t="s">
        <v>52</v>
      </c>
      <c r="F4" t="s">
        <v>76</v>
      </c>
      <c r="G4" s="6" t="s">
        <v>32</v>
      </c>
      <c r="H4" t="s">
        <v>76</v>
      </c>
    </row>
    <row r="5" spans="1:8" ht="28.8" x14ac:dyDescent="0.3">
      <c r="A5" s="5" t="s">
        <v>11</v>
      </c>
      <c r="B5" t="s">
        <v>84</v>
      </c>
      <c r="C5" s="6" t="s">
        <v>85</v>
      </c>
      <c r="D5" t="s">
        <v>78</v>
      </c>
      <c r="E5" s="6" t="s">
        <v>86</v>
      </c>
      <c r="F5" t="s">
        <v>76</v>
      </c>
      <c r="G5" s="6" t="s">
        <v>87</v>
      </c>
      <c r="H5" t="s">
        <v>79</v>
      </c>
    </row>
    <row r="6" spans="1:8" ht="28.8" x14ac:dyDescent="0.3">
      <c r="B6" t="s">
        <v>12</v>
      </c>
      <c r="C6" s="6" t="s">
        <v>33</v>
      </c>
      <c r="D6" t="s">
        <v>76</v>
      </c>
      <c r="E6" s="6" t="s">
        <v>53</v>
      </c>
      <c r="F6" t="s">
        <v>78</v>
      </c>
      <c r="G6" s="6" t="s">
        <v>69</v>
      </c>
      <c r="H6" t="s">
        <v>78</v>
      </c>
    </row>
    <row r="7" spans="1:8" ht="28.8" x14ac:dyDescent="0.3">
      <c r="A7" s="5" t="s">
        <v>13</v>
      </c>
      <c r="B7" t="s">
        <v>14</v>
      </c>
      <c r="C7" s="6" t="s">
        <v>34</v>
      </c>
      <c r="D7" t="s">
        <v>79</v>
      </c>
      <c r="E7" s="6" t="s">
        <v>54</v>
      </c>
      <c r="F7" t="s">
        <v>79</v>
      </c>
      <c r="G7" s="6" t="s">
        <v>70</v>
      </c>
      <c r="H7" t="s">
        <v>79</v>
      </c>
    </row>
    <row r="8" spans="1:8" ht="43.2" x14ac:dyDescent="0.3">
      <c r="A8" s="3" t="s">
        <v>6</v>
      </c>
      <c r="B8" t="s">
        <v>15</v>
      </c>
      <c r="C8" s="6" t="s">
        <v>35</v>
      </c>
      <c r="D8" t="s">
        <v>77</v>
      </c>
      <c r="E8" s="6" t="s">
        <v>35</v>
      </c>
      <c r="F8" t="s">
        <v>77</v>
      </c>
      <c r="G8" s="6" t="s">
        <v>71</v>
      </c>
      <c r="H8" t="s">
        <v>76</v>
      </c>
    </row>
    <row r="9" spans="1:8" ht="57.6" x14ac:dyDescent="0.3">
      <c r="A9" s="5" t="s">
        <v>7</v>
      </c>
      <c r="B9" t="s">
        <v>16</v>
      </c>
      <c r="C9" s="6" t="s">
        <v>36</v>
      </c>
      <c r="D9" t="s">
        <v>77</v>
      </c>
      <c r="E9" s="6" t="s">
        <v>55</v>
      </c>
      <c r="F9" t="s">
        <v>76</v>
      </c>
      <c r="G9" s="6" t="s">
        <v>55</v>
      </c>
      <c r="H9" t="s">
        <v>76</v>
      </c>
    </row>
    <row r="10" spans="1:8" ht="28.8" x14ac:dyDescent="0.3">
      <c r="A10" s="5"/>
      <c r="B10" t="s">
        <v>17</v>
      </c>
      <c r="C10" s="6" t="s">
        <v>37</v>
      </c>
      <c r="D10" t="s">
        <v>78</v>
      </c>
      <c r="E10" s="6" t="s">
        <v>56</v>
      </c>
      <c r="F10" t="s">
        <v>76</v>
      </c>
      <c r="G10" s="6" t="s">
        <v>56</v>
      </c>
      <c r="H10" t="s">
        <v>76</v>
      </c>
    </row>
    <row r="11" spans="1:8" ht="28.8" x14ac:dyDescent="0.3">
      <c r="A11" s="5"/>
      <c r="B11" t="s">
        <v>18</v>
      </c>
      <c r="C11" s="6" t="s">
        <v>38</v>
      </c>
      <c r="D11" t="s">
        <v>77</v>
      </c>
      <c r="E11" s="6" t="s">
        <v>57</v>
      </c>
      <c r="F11" t="s">
        <v>76</v>
      </c>
      <c r="G11" s="6" t="s">
        <v>72</v>
      </c>
      <c r="H11" t="s">
        <v>76</v>
      </c>
    </row>
    <row r="12" spans="1:8" x14ac:dyDescent="0.3">
      <c r="A12" s="5"/>
      <c r="B12" t="s">
        <v>19</v>
      </c>
      <c r="C12" s="6" t="s">
        <v>39</v>
      </c>
      <c r="D12" t="s">
        <v>76</v>
      </c>
      <c r="E12" s="6" t="s">
        <v>58</v>
      </c>
      <c r="F12" t="s">
        <v>76</v>
      </c>
      <c r="G12" s="6" t="s">
        <v>58</v>
      </c>
      <c r="H12" t="s">
        <v>76</v>
      </c>
    </row>
    <row r="13" spans="1:8" ht="86.4" x14ac:dyDescent="0.3">
      <c r="A13" s="5" t="s">
        <v>20</v>
      </c>
      <c r="B13" t="s">
        <v>21</v>
      </c>
      <c r="C13" s="6" t="s">
        <v>40</v>
      </c>
      <c r="D13" t="s">
        <v>77</v>
      </c>
      <c r="E13" s="6" t="s">
        <v>59</v>
      </c>
      <c r="F13" t="s">
        <v>76</v>
      </c>
      <c r="G13" s="6" t="s">
        <v>59</v>
      </c>
      <c r="H13" t="s">
        <v>76</v>
      </c>
    </row>
    <row r="14" spans="1:8" ht="28.8" x14ac:dyDescent="0.3">
      <c r="A14" s="5"/>
      <c r="B14" t="s">
        <v>80</v>
      </c>
      <c r="C14" s="6" t="s">
        <v>41</v>
      </c>
      <c r="D14" t="s">
        <v>76</v>
      </c>
      <c r="E14" s="6" t="s">
        <v>60</v>
      </c>
      <c r="F14" t="s">
        <v>76</v>
      </c>
      <c r="G14" s="6" t="s">
        <v>73</v>
      </c>
      <c r="H14" t="s">
        <v>76</v>
      </c>
    </row>
    <row r="15" spans="1:8" x14ac:dyDescent="0.3">
      <c r="A15" s="5"/>
      <c r="B15" t="s">
        <v>42</v>
      </c>
      <c r="C15" s="6" t="s">
        <v>43</v>
      </c>
      <c r="D15" t="s">
        <v>76</v>
      </c>
      <c r="E15" s="6" t="s">
        <v>61</v>
      </c>
      <c r="F15" t="s">
        <v>79</v>
      </c>
      <c r="G15" s="6" t="s">
        <v>74</v>
      </c>
      <c r="H15" t="s">
        <v>78</v>
      </c>
    </row>
    <row r="16" spans="1:8" x14ac:dyDescent="0.3">
      <c r="A16" s="5"/>
      <c r="B16" t="s">
        <v>22</v>
      </c>
      <c r="C16" s="6" t="s">
        <v>44</v>
      </c>
      <c r="D16" t="s">
        <v>78</v>
      </c>
      <c r="E16" s="6" t="s">
        <v>62</v>
      </c>
      <c r="F16" t="s">
        <v>76</v>
      </c>
      <c r="G16" s="6" t="s">
        <v>62</v>
      </c>
      <c r="H16" t="s">
        <v>76</v>
      </c>
    </row>
    <row r="17" spans="1:8" ht="57.6" x14ac:dyDescent="0.3">
      <c r="A17" s="5" t="s">
        <v>23</v>
      </c>
      <c r="B17" t="s">
        <v>24</v>
      </c>
      <c r="C17" s="6" t="s">
        <v>45</v>
      </c>
      <c r="D17" t="s">
        <v>77</v>
      </c>
      <c r="E17" s="6" t="s">
        <v>63</v>
      </c>
      <c r="F17" t="s">
        <v>76</v>
      </c>
      <c r="G17" s="6" t="s">
        <v>63</v>
      </c>
      <c r="H17" t="s">
        <v>76</v>
      </c>
    </row>
    <row r="18" spans="1:8" x14ac:dyDescent="0.3">
      <c r="A18" s="5"/>
      <c r="B18" t="s">
        <v>25</v>
      </c>
      <c r="C18" s="6" t="s">
        <v>46</v>
      </c>
      <c r="D18" t="s">
        <v>76</v>
      </c>
      <c r="E18" s="6" t="s">
        <v>46</v>
      </c>
      <c r="F18" t="s">
        <v>76</v>
      </c>
      <c r="G18" s="6" t="s">
        <v>46</v>
      </c>
      <c r="H18" t="s">
        <v>76</v>
      </c>
    </row>
    <row r="19" spans="1:8" ht="28.8" x14ac:dyDescent="0.3">
      <c r="A19" s="5"/>
      <c r="B19" t="s">
        <v>26</v>
      </c>
      <c r="C19" s="6" t="s">
        <v>47</v>
      </c>
      <c r="D19" t="s">
        <v>76</v>
      </c>
      <c r="E19" s="6" t="s">
        <v>64</v>
      </c>
      <c r="F19" t="s">
        <v>76</v>
      </c>
      <c r="G19" s="6" t="s">
        <v>64</v>
      </c>
      <c r="H19" t="s">
        <v>76</v>
      </c>
    </row>
    <row r="20" spans="1:8" ht="72" x14ac:dyDescent="0.3">
      <c r="A20" s="3" t="s">
        <v>27</v>
      </c>
      <c r="B20" t="s">
        <v>28</v>
      </c>
      <c r="C20" s="6" t="s">
        <v>48</v>
      </c>
      <c r="D20" t="s">
        <v>77</v>
      </c>
      <c r="E20" s="6" t="s">
        <v>65</v>
      </c>
      <c r="F20" t="s">
        <v>77</v>
      </c>
      <c r="G20" s="6" t="s">
        <v>65</v>
      </c>
      <c r="H20" t="s">
        <v>77</v>
      </c>
    </row>
    <row r="21" spans="1:8" x14ac:dyDescent="0.3">
      <c r="A21" s="1"/>
      <c r="B21" t="s">
        <v>29</v>
      </c>
      <c r="C21" s="6" t="s">
        <v>49</v>
      </c>
      <c r="D21" t="s">
        <v>77</v>
      </c>
      <c r="E21" s="6" t="s">
        <v>66</v>
      </c>
      <c r="F21" t="s">
        <v>76</v>
      </c>
      <c r="G21" s="6" t="s">
        <v>66</v>
      </c>
      <c r="H21" t="s">
        <v>76</v>
      </c>
    </row>
    <row r="22" spans="1:8" x14ac:dyDescent="0.3">
      <c r="A22" s="1"/>
      <c r="B22" t="s">
        <v>30</v>
      </c>
      <c r="C22" s="6" t="s">
        <v>50</v>
      </c>
      <c r="D22" t="s">
        <v>76</v>
      </c>
      <c r="E22" s="6" t="s">
        <v>67</v>
      </c>
      <c r="F22" t="s">
        <v>76</v>
      </c>
      <c r="G22" s="6" t="s">
        <v>67</v>
      </c>
      <c r="H22"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6C09-A9C3-406B-B662-B13AD6DE7070}">
  <dimension ref="A1:D15"/>
  <sheetViews>
    <sheetView workbookViewId="0">
      <selection activeCell="D14" sqref="D14"/>
    </sheetView>
  </sheetViews>
  <sheetFormatPr defaultRowHeight="14.4" x14ac:dyDescent="0.3"/>
  <sheetData>
    <row r="1" spans="1:4" x14ac:dyDescent="0.3">
      <c r="B1" t="s">
        <v>1</v>
      </c>
      <c r="C1" t="s">
        <v>3</v>
      </c>
      <c r="D1" t="s">
        <v>4</v>
      </c>
    </row>
    <row r="2" spans="1:4" x14ac:dyDescent="0.3">
      <c r="A2" t="s">
        <v>77</v>
      </c>
      <c r="B2">
        <f>COUNTIF(Sheet1!$D$2:$D$37, "CSM")</f>
        <v>8</v>
      </c>
      <c r="C2">
        <f>COUNTIF(Sheet1!$F$2:$F$37, "CSM")</f>
        <v>2</v>
      </c>
      <c r="D2">
        <f>COUNTIF(Sheet1!$H$2:$H$37, "CSM")</f>
        <v>1</v>
      </c>
    </row>
    <row r="3" spans="1:4" x14ac:dyDescent="0.3">
      <c r="A3" t="s">
        <v>79</v>
      </c>
      <c r="B3">
        <f>COUNTIF(Sheet1!$D$2:$D$37, "CSA")</f>
        <v>1</v>
      </c>
      <c r="C3">
        <f>COUNTIF(Sheet1!$F$2:$F$37, "CSa")</f>
        <v>2</v>
      </c>
      <c r="D3">
        <f>COUNTIF(Sheet1!$H$2:$H$37, "CSA")</f>
        <v>2</v>
      </c>
    </row>
    <row r="4" spans="1:4" x14ac:dyDescent="0.3">
      <c r="A4" t="s">
        <v>78</v>
      </c>
      <c r="B4">
        <f>COUNTIF(Sheet1!$D$2:$D$37, "CSC")</f>
        <v>3</v>
      </c>
      <c r="C4">
        <f>COUNTIF(Sheet1!$F$2:$F$37, "CSc")</f>
        <v>1</v>
      </c>
      <c r="D4">
        <f>COUNTIF(Sheet1!$H$2:$H$37, "CSC")</f>
        <v>2</v>
      </c>
    </row>
    <row r="5" spans="1:4" x14ac:dyDescent="0.3">
      <c r="A5" t="s">
        <v>81</v>
      </c>
      <c r="B5">
        <f>SUM(B2:B4)</f>
        <v>12</v>
      </c>
      <c r="C5">
        <f>SUM(C2:C4)</f>
        <v>5</v>
      </c>
      <c r="D5">
        <f>SUM(D2:D4)</f>
        <v>5</v>
      </c>
    </row>
    <row r="6" spans="1:4" x14ac:dyDescent="0.3">
      <c r="A6" t="s">
        <v>82</v>
      </c>
      <c r="B6">
        <f>COUNTIF(Sheet1!$D$2:$D$37, "R")</f>
        <v>8</v>
      </c>
      <c r="C6">
        <f>COUNTIF(Sheet1!$F$2:$F$37, "R")</f>
        <v>15</v>
      </c>
      <c r="D6">
        <f>COUNTIF(Sheet1!$H$2:$H$37, "R")</f>
        <v>15</v>
      </c>
    </row>
    <row r="8" spans="1:4" x14ac:dyDescent="0.3">
      <c r="A8" s="7" t="s">
        <v>83</v>
      </c>
      <c r="B8">
        <f>SUM(B5:B6)</f>
        <v>20</v>
      </c>
      <c r="C8">
        <f>SUM(C5:C6)</f>
        <v>20</v>
      </c>
      <c r="D8">
        <f>SUM(D5:D6)</f>
        <v>20</v>
      </c>
    </row>
    <row r="10" spans="1:4" x14ac:dyDescent="0.3">
      <c r="A10" t="s">
        <v>88</v>
      </c>
      <c r="B10">
        <v>6</v>
      </c>
      <c r="C10">
        <v>11</v>
      </c>
      <c r="D10">
        <v>9</v>
      </c>
    </row>
    <row r="11" spans="1:4" x14ac:dyDescent="0.3">
      <c r="A11" t="s">
        <v>89</v>
      </c>
      <c r="B11">
        <v>6</v>
      </c>
      <c r="C11">
        <v>18</v>
      </c>
      <c r="D11">
        <v>29</v>
      </c>
    </row>
    <row r="12" spans="1:4" x14ac:dyDescent="0.3">
      <c r="A12" t="s">
        <v>90</v>
      </c>
      <c r="B12">
        <v>1</v>
      </c>
      <c r="C12">
        <v>0</v>
      </c>
      <c r="D12">
        <v>1</v>
      </c>
    </row>
    <row r="13" spans="1:4" x14ac:dyDescent="0.3">
      <c r="A13" t="s">
        <v>91</v>
      </c>
      <c r="B13">
        <v>154</v>
      </c>
      <c r="C13">
        <v>154</v>
      </c>
      <c r="D13">
        <v>154</v>
      </c>
    </row>
    <row r="15" spans="1:4" x14ac:dyDescent="0.3">
      <c r="A15" s="7" t="s">
        <v>92</v>
      </c>
      <c r="B15">
        <f>((B5/B8)-((B11-B12)/B13))*100</f>
        <v>56.753246753246756</v>
      </c>
      <c r="C15">
        <f t="shared" ref="C15:D15" si="0">((C5/C8)-((C11-C12)/C13))*100</f>
        <v>13.311688311688313</v>
      </c>
      <c r="D15">
        <f t="shared" si="0"/>
        <v>6.8181818181818175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53EFD-C4F1-415F-9857-29C07EABD444}">
  <dimension ref="A2:D16"/>
  <sheetViews>
    <sheetView workbookViewId="0">
      <selection activeCell="A2" sqref="A2:D17"/>
    </sheetView>
  </sheetViews>
  <sheetFormatPr defaultRowHeight="14.4" x14ac:dyDescent="0.3"/>
  <sheetData>
    <row r="2" spans="1:4" x14ac:dyDescent="0.3">
      <c r="B2" t="s">
        <v>1</v>
      </c>
      <c r="C2" t="s">
        <v>3</v>
      </c>
      <c r="D2" t="s">
        <v>4</v>
      </c>
    </row>
    <row r="3" spans="1:4" x14ac:dyDescent="0.3">
      <c r="A3" t="s">
        <v>77</v>
      </c>
      <c r="B3">
        <f>COUNTIF(Sheet1!$D$2:$D$37, "CSM")</f>
        <v>8</v>
      </c>
      <c r="C3">
        <f>COUNTIF(Sheet1!$F$2:$F$37, "CSM")</f>
        <v>2</v>
      </c>
      <c r="D3">
        <f>COUNTIF(Sheet1!$H$2:$H$37, "CSM")</f>
        <v>1</v>
      </c>
    </row>
    <row r="4" spans="1:4" x14ac:dyDescent="0.3">
      <c r="A4" t="s">
        <v>79</v>
      </c>
      <c r="B4">
        <f>COUNTIF(Sheet1!$D$2:$D$37, "CSA")</f>
        <v>1</v>
      </c>
      <c r="C4">
        <f>COUNTIF(Sheet1!$F$2:$F$37, "CSa")</f>
        <v>2</v>
      </c>
      <c r="D4">
        <f>COUNTIF(Sheet1!$H$2:$H$37, "CSA")</f>
        <v>2</v>
      </c>
    </row>
    <row r="5" spans="1:4" x14ac:dyDescent="0.3">
      <c r="A5" t="s">
        <v>78</v>
      </c>
      <c r="B5">
        <f>COUNTIF(Sheet1!$D$2:$D$37, "CSC")</f>
        <v>3</v>
      </c>
      <c r="C5">
        <f>COUNTIF(Sheet1!$F$2:$F$37, "CSc")</f>
        <v>1</v>
      </c>
      <c r="D5">
        <f>COUNTIF(Sheet1!$H$2:$H$37, "CSC")</f>
        <v>2</v>
      </c>
    </row>
    <row r="6" spans="1:4" x14ac:dyDescent="0.3">
      <c r="A6" t="s">
        <v>81</v>
      </c>
      <c r="B6">
        <f>SUM(B3:B5)</f>
        <v>12</v>
      </c>
      <c r="C6">
        <f>SUM(C3:C5)</f>
        <v>5</v>
      </c>
      <c r="D6">
        <f>SUM(D3:D5)</f>
        <v>5</v>
      </c>
    </row>
    <row r="7" spans="1:4" x14ac:dyDescent="0.3">
      <c r="A7" t="s">
        <v>82</v>
      </c>
      <c r="B7">
        <f>COUNTIF(Sheet1!$D$2:$D$37, "R")</f>
        <v>8</v>
      </c>
      <c r="C7">
        <f>COUNTIF(Sheet1!$F$2:$F$37, "R")</f>
        <v>15</v>
      </c>
      <c r="D7">
        <f>COUNTIF(Sheet1!$H$2:$H$37, "R")</f>
        <v>15</v>
      </c>
    </row>
    <row r="9" spans="1:4" x14ac:dyDescent="0.3">
      <c r="A9" s="7" t="s">
        <v>83</v>
      </c>
      <c r="B9">
        <f>SUM(B6:B7)</f>
        <v>20</v>
      </c>
      <c r="C9">
        <f>SUM(C6:C7)</f>
        <v>20</v>
      </c>
      <c r="D9">
        <f>SUM(D6:D7)</f>
        <v>20</v>
      </c>
    </row>
    <row r="11" spans="1:4" x14ac:dyDescent="0.3">
      <c r="A11" t="s">
        <v>88</v>
      </c>
      <c r="B11">
        <v>3</v>
      </c>
      <c r="C11">
        <v>11</v>
      </c>
      <c r="D11">
        <v>18</v>
      </c>
    </row>
    <row r="12" spans="1:4" x14ac:dyDescent="0.3">
      <c r="A12" t="s">
        <v>89</v>
      </c>
      <c r="B12">
        <v>3</v>
      </c>
      <c r="C12">
        <v>11</v>
      </c>
      <c r="D12">
        <v>22</v>
      </c>
    </row>
    <row r="13" spans="1:4" x14ac:dyDescent="0.3">
      <c r="A13" t="s">
        <v>90</v>
      </c>
      <c r="B13">
        <v>0</v>
      </c>
      <c r="C13">
        <v>0</v>
      </c>
      <c r="D13">
        <v>0</v>
      </c>
    </row>
    <row r="14" spans="1:4" x14ac:dyDescent="0.3">
      <c r="A14" t="s">
        <v>91</v>
      </c>
      <c r="B14">
        <v>154</v>
      </c>
      <c r="C14">
        <v>154</v>
      </c>
      <c r="D14">
        <v>154</v>
      </c>
    </row>
    <row r="16" spans="1:4" x14ac:dyDescent="0.3">
      <c r="A16" s="7" t="s">
        <v>92</v>
      </c>
      <c r="B16">
        <f>((B6/B9)-((B12-B13)/B14))*100</f>
        <v>58.051948051948052</v>
      </c>
      <c r="C16">
        <f t="shared" ref="C16:D16" si="0">((C6/C9)-((C12-C13)/C14))*100</f>
        <v>17.857142857142858</v>
      </c>
      <c r="D16">
        <f t="shared" si="0"/>
        <v>10.714285714285715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CI_new</vt:lpstr>
      <vt:lpstr>Overview_old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Kyo Gerrits</dc:creator>
  <cp:lastModifiedBy>Kyo Gerrits</cp:lastModifiedBy>
  <dcterms:created xsi:type="dcterms:W3CDTF">2025-09-04T05:59:12Z</dcterms:created>
  <dcterms:modified xsi:type="dcterms:W3CDTF">2026-03-16T14:33:39Z</dcterms:modified>
</cp:coreProperties>
</file>