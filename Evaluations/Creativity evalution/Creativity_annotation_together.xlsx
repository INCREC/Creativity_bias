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67dfbcd80f181300/Documents/Uni/PhD/WP3/Annotations/Automatic annotations/Creativity/Annotations_combined/"/>
    </mc:Choice>
  </mc:AlternateContent>
  <xr:revisionPtr revIDLastSave="112" documentId="8_{53EB2B92-E6E2-452C-BC53-8167756BE2A5}" xr6:coauthVersionLast="47" xr6:coauthVersionMax="47" xr10:uidLastSave="{943E6B2E-53A3-41BB-8FC5-E15FF8A236B6}"/>
  <bookViews>
    <workbookView xWindow="-108" yWindow="-108" windowWidth="23256" windowHeight="12456" xr2:uid="{2CD92088-C482-4F70-8DC3-63DE3D2D63DE}"/>
  </bookViews>
  <sheets>
    <sheet name="Sheet1" sheetId="1" r:id="rId1"/>
  </sheets>
  <definedNames>
    <definedName name="_xlnm._FilterDatabase" localSheetId="0" hidden="1">Sheet1!$A$1:$Q$565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 r="G23" i="1"/>
  <c r="G24" i="1"/>
  <c r="G25" i="1"/>
  <c r="G26" i="1"/>
  <c r="G27" i="1"/>
  <c r="G28" i="1"/>
  <c r="G29" i="1"/>
  <c r="G30" i="1"/>
  <c r="G31" i="1"/>
  <c r="G32" i="1"/>
  <c r="G33" i="1"/>
  <c r="G34" i="1"/>
  <c r="G35" i="1"/>
  <c r="G36" i="1"/>
  <c r="G37" i="1"/>
  <c r="G38" i="1"/>
  <c r="G39" i="1"/>
  <c r="G40" i="1"/>
  <c r="G41" i="1"/>
  <c r="G413" i="1"/>
  <c r="G414" i="1"/>
  <c r="G415" i="1"/>
  <c r="G418" i="1"/>
  <c r="G420" i="1"/>
  <c r="G424" i="1"/>
  <c r="G425" i="1"/>
  <c r="G426" i="1"/>
  <c r="G427" i="1"/>
  <c r="G428" i="1"/>
  <c r="G431" i="1"/>
  <c r="G436" i="1"/>
  <c r="G506" i="1"/>
  <c r="G507" i="1"/>
  <c r="G508" i="1"/>
  <c r="G509" i="1"/>
  <c r="G510" i="1"/>
  <c r="G511" i="1"/>
  <c r="G512" i="1"/>
  <c r="G513" i="1"/>
  <c r="G514" i="1"/>
  <c r="G515" i="1"/>
  <c r="G516" i="1"/>
  <c r="G517" i="1"/>
  <c r="G518" i="1"/>
  <c r="G519" i="1"/>
  <c r="G520" i="1"/>
  <c r="G521" i="1"/>
  <c r="G522" i="1"/>
  <c r="G523" i="1"/>
  <c r="G524" i="1"/>
  <c r="G525" i="1"/>
  <c r="G529" i="1"/>
  <c r="G530" i="1"/>
  <c r="G531" i="1"/>
  <c r="G538" i="1"/>
  <c r="G543" i="1"/>
  <c r="G548" i="1"/>
  <c r="G549" i="1"/>
  <c r="G550" i="1"/>
  <c r="G558" i="1"/>
  <c r="G563" i="1"/>
  <c r="L499" i="1"/>
  <c r="M499" i="1" s="1"/>
  <c r="L546" i="1"/>
  <c r="M546" i="1" s="1"/>
  <c r="L547" i="1"/>
  <c r="M547" i="1" s="1"/>
  <c r="L548" i="1"/>
  <c r="M548" i="1" s="1"/>
  <c r="L549" i="1"/>
  <c r="M549" i="1" s="1"/>
  <c r="L550" i="1"/>
  <c r="M550" i="1" s="1"/>
  <c r="L551" i="1"/>
  <c r="M551" i="1" s="1"/>
  <c r="L552" i="1"/>
  <c r="M552" i="1" s="1"/>
  <c r="L553" i="1"/>
  <c r="M553" i="1" s="1"/>
  <c r="L554" i="1"/>
  <c r="M554" i="1" s="1"/>
  <c r="L555" i="1"/>
  <c r="M555" i="1" s="1"/>
  <c r="L556" i="1"/>
  <c r="M556" i="1" s="1"/>
  <c r="L557" i="1"/>
  <c r="M557" i="1" s="1"/>
  <c r="L558" i="1"/>
  <c r="M558" i="1" s="1"/>
  <c r="L559" i="1"/>
  <c r="M559" i="1" s="1"/>
  <c r="L560" i="1"/>
  <c r="M560" i="1" s="1"/>
  <c r="L561" i="1"/>
  <c r="M561" i="1" s="1"/>
  <c r="L562" i="1"/>
  <c r="M562" i="1" s="1"/>
  <c r="L563" i="1"/>
  <c r="M563" i="1" s="1"/>
  <c r="L564" i="1"/>
  <c r="M564" i="1" s="1"/>
  <c r="L565" i="1"/>
  <c r="M565" i="1" s="1"/>
  <c r="I565" i="1"/>
  <c r="F565" i="1"/>
  <c r="G565" i="1" s="1"/>
  <c r="I564" i="1"/>
  <c r="F564" i="1"/>
  <c r="G564" i="1" s="1"/>
  <c r="I563" i="1"/>
  <c r="J563" i="1" s="1"/>
  <c r="K563" i="1" s="1"/>
  <c r="I562" i="1"/>
  <c r="F562" i="1"/>
  <c r="G562" i="1" s="1"/>
  <c r="I561" i="1"/>
  <c r="F561" i="1"/>
  <c r="G561" i="1" s="1"/>
  <c r="I560" i="1"/>
  <c r="F560" i="1"/>
  <c r="G560" i="1" s="1"/>
  <c r="F559" i="1"/>
  <c r="J559" i="1" s="1"/>
  <c r="K559" i="1" s="1"/>
  <c r="J558" i="1"/>
  <c r="K558" i="1" s="1"/>
  <c r="I557" i="1"/>
  <c r="F557" i="1"/>
  <c r="G557" i="1" s="1"/>
  <c r="F556" i="1"/>
  <c r="J556" i="1" s="1"/>
  <c r="K556" i="1" s="1"/>
  <c r="F555" i="1"/>
  <c r="J555" i="1" s="1"/>
  <c r="K555" i="1" s="1"/>
  <c r="F554" i="1"/>
  <c r="J554" i="1" s="1"/>
  <c r="K554" i="1" s="1"/>
  <c r="F553" i="1"/>
  <c r="I552" i="1"/>
  <c r="F552" i="1"/>
  <c r="G552" i="1" s="1"/>
  <c r="I551" i="1"/>
  <c r="F551" i="1"/>
  <c r="G551" i="1" s="1"/>
  <c r="J550" i="1"/>
  <c r="K550" i="1" s="1"/>
  <c r="I549" i="1"/>
  <c r="J549" i="1" s="1"/>
  <c r="K549" i="1" s="1"/>
  <c r="J548" i="1"/>
  <c r="K548" i="1" s="1"/>
  <c r="I547" i="1"/>
  <c r="F547" i="1"/>
  <c r="G547" i="1" s="1"/>
  <c r="I546" i="1"/>
  <c r="F546" i="1"/>
  <c r="G546" i="1" s="1"/>
  <c r="L545" i="1"/>
  <c r="M545" i="1" s="1"/>
  <c r="I545" i="1"/>
  <c r="F545" i="1"/>
  <c r="G545" i="1" s="1"/>
  <c r="L544" i="1"/>
  <c r="M544" i="1" s="1"/>
  <c r="I544" i="1"/>
  <c r="F544" i="1"/>
  <c r="G544" i="1" s="1"/>
  <c r="L543" i="1"/>
  <c r="M543" i="1" s="1"/>
  <c r="J543" i="1"/>
  <c r="K543" i="1" s="1"/>
  <c r="L542" i="1"/>
  <c r="M542" i="1" s="1"/>
  <c r="I542" i="1"/>
  <c r="F542" i="1"/>
  <c r="G542" i="1" s="1"/>
  <c r="L541" i="1"/>
  <c r="M541" i="1" s="1"/>
  <c r="I541" i="1"/>
  <c r="F541" i="1"/>
  <c r="G541" i="1" s="1"/>
  <c r="L540" i="1"/>
  <c r="M540" i="1" s="1"/>
  <c r="I540" i="1"/>
  <c r="F540" i="1"/>
  <c r="G540" i="1" s="1"/>
  <c r="L539" i="1"/>
  <c r="M539" i="1" s="1"/>
  <c r="I539" i="1"/>
  <c r="F539" i="1"/>
  <c r="G539" i="1" s="1"/>
  <c r="L538" i="1"/>
  <c r="M538" i="1" s="1"/>
  <c r="I538" i="1"/>
  <c r="J538" i="1" s="1"/>
  <c r="K538" i="1" s="1"/>
  <c r="L537" i="1"/>
  <c r="M537" i="1" s="1"/>
  <c r="I537" i="1"/>
  <c r="F537" i="1"/>
  <c r="G537" i="1" s="1"/>
  <c r="L536" i="1"/>
  <c r="M536" i="1" s="1"/>
  <c r="F536" i="1"/>
  <c r="J536" i="1" s="1"/>
  <c r="K536" i="1" s="1"/>
  <c r="L535" i="1"/>
  <c r="M535" i="1" s="1"/>
  <c r="F535" i="1"/>
  <c r="L534" i="1"/>
  <c r="M534" i="1" s="1"/>
  <c r="F534" i="1"/>
  <c r="L533" i="1"/>
  <c r="M533" i="1" s="1"/>
  <c r="F533" i="1"/>
  <c r="L532" i="1"/>
  <c r="M532" i="1" s="1"/>
  <c r="I532" i="1"/>
  <c r="F532" i="1"/>
  <c r="G532" i="1" s="1"/>
  <c r="L531" i="1"/>
  <c r="M531" i="1" s="1"/>
  <c r="I531" i="1"/>
  <c r="J531" i="1" s="1"/>
  <c r="K531" i="1" s="1"/>
  <c r="L530" i="1"/>
  <c r="M530" i="1" s="1"/>
  <c r="J530" i="1"/>
  <c r="K530" i="1" s="1"/>
  <c r="L529" i="1"/>
  <c r="M529" i="1" s="1"/>
  <c r="J529" i="1"/>
  <c r="K529" i="1" s="1"/>
  <c r="L528" i="1"/>
  <c r="M528" i="1" s="1"/>
  <c r="I528" i="1"/>
  <c r="F528" i="1"/>
  <c r="G528" i="1" s="1"/>
  <c r="L527" i="1"/>
  <c r="M527" i="1" s="1"/>
  <c r="I527" i="1"/>
  <c r="F527" i="1"/>
  <c r="G527" i="1" s="1"/>
  <c r="L526" i="1"/>
  <c r="M526" i="1" s="1"/>
  <c r="I526" i="1"/>
  <c r="F526" i="1"/>
  <c r="G526" i="1" s="1"/>
  <c r="G556" i="1" l="1"/>
  <c r="G554" i="1"/>
  <c r="G536" i="1"/>
  <c r="J534" i="1"/>
  <c r="K534" i="1" s="1"/>
  <c r="G534" i="1"/>
  <c r="J535" i="1"/>
  <c r="K535" i="1" s="1"/>
  <c r="G535" i="1"/>
  <c r="J533" i="1"/>
  <c r="K533" i="1" s="1"/>
  <c r="G533" i="1"/>
  <c r="J553" i="1"/>
  <c r="K553" i="1" s="1"/>
  <c r="G553" i="1"/>
  <c r="G559" i="1"/>
  <c r="G555" i="1"/>
  <c r="J564" i="1"/>
  <c r="K564" i="1" s="1"/>
  <c r="J552" i="1"/>
  <c r="K552" i="1" s="1"/>
  <c r="J545" i="1"/>
  <c r="K545" i="1" s="1"/>
  <c r="J546" i="1"/>
  <c r="K546" i="1" s="1"/>
  <c r="J551" i="1"/>
  <c r="K551" i="1" s="1"/>
  <c r="J561" i="1"/>
  <c r="K561" i="1" s="1"/>
  <c r="J541" i="1"/>
  <c r="K541" i="1" s="1"/>
  <c r="J532" i="1"/>
  <c r="K532" i="1" s="1"/>
  <c r="J539" i="1"/>
  <c r="K539" i="1" s="1"/>
  <c r="J547" i="1"/>
  <c r="K547" i="1" s="1"/>
  <c r="J528" i="1"/>
  <c r="K528" i="1" s="1"/>
  <c r="J544" i="1"/>
  <c r="K544" i="1" s="1"/>
  <c r="J565" i="1"/>
  <c r="K565" i="1" s="1"/>
  <c r="J526" i="1"/>
  <c r="K526" i="1" s="1"/>
  <c r="J527" i="1"/>
  <c r="K527" i="1" s="1"/>
  <c r="J537" i="1"/>
  <c r="K537" i="1" s="1"/>
  <c r="J540" i="1"/>
  <c r="K540" i="1" s="1"/>
  <c r="J560" i="1"/>
  <c r="K560" i="1" s="1"/>
  <c r="J542" i="1"/>
  <c r="K542" i="1" s="1"/>
  <c r="J557" i="1"/>
  <c r="K557" i="1" s="1"/>
  <c r="J562" i="1"/>
  <c r="K562" i="1" s="1"/>
  <c r="L525" i="1"/>
  <c r="M525" i="1" s="1"/>
  <c r="I525" i="1"/>
  <c r="J525" i="1" s="1"/>
  <c r="K525" i="1" s="1"/>
  <c r="L524" i="1"/>
  <c r="M524" i="1" s="1"/>
  <c r="I524" i="1"/>
  <c r="J524" i="1" s="1"/>
  <c r="K524" i="1" s="1"/>
  <c r="L523" i="1"/>
  <c r="M523" i="1" s="1"/>
  <c r="I523" i="1"/>
  <c r="J523" i="1" s="1"/>
  <c r="K523" i="1" s="1"/>
  <c r="L522" i="1"/>
  <c r="M522" i="1" s="1"/>
  <c r="I522" i="1"/>
  <c r="J522" i="1" s="1"/>
  <c r="K522" i="1" s="1"/>
  <c r="L521" i="1"/>
  <c r="M521" i="1" s="1"/>
  <c r="I521" i="1"/>
  <c r="J521" i="1" s="1"/>
  <c r="K521" i="1" s="1"/>
  <c r="L520" i="1"/>
  <c r="M520" i="1" s="1"/>
  <c r="I520" i="1"/>
  <c r="J520" i="1" s="1"/>
  <c r="K520" i="1" s="1"/>
  <c r="L519" i="1"/>
  <c r="M519" i="1" s="1"/>
  <c r="J519" i="1"/>
  <c r="K519" i="1" s="1"/>
  <c r="L518" i="1"/>
  <c r="M518" i="1" s="1"/>
  <c r="I518" i="1"/>
  <c r="J518" i="1" s="1"/>
  <c r="K518" i="1" s="1"/>
  <c r="L517" i="1"/>
  <c r="M517" i="1" s="1"/>
  <c r="I517" i="1"/>
  <c r="J517" i="1" s="1"/>
  <c r="K517" i="1" s="1"/>
  <c r="L516" i="1"/>
  <c r="M516" i="1" s="1"/>
  <c r="I516" i="1"/>
  <c r="J516" i="1" s="1"/>
  <c r="K516" i="1" s="1"/>
  <c r="L515" i="1"/>
  <c r="M515" i="1" s="1"/>
  <c r="I515" i="1"/>
  <c r="J515" i="1" s="1"/>
  <c r="K515" i="1" s="1"/>
  <c r="L514" i="1"/>
  <c r="M514" i="1" s="1"/>
  <c r="J514" i="1"/>
  <c r="K514" i="1" s="1"/>
  <c r="L513" i="1"/>
  <c r="M513" i="1" s="1"/>
  <c r="J513" i="1"/>
  <c r="K513" i="1" s="1"/>
  <c r="L512" i="1"/>
  <c r="M512" i="1" s="1"/>
  <c r="I512" i="1"/>
  <c r="J512" i="1" s="1"/>
  <c r="K512" i="1" s="1"/>
  <c r="L511" i="1"/>
  <c r="M511" i="1" s="1"/>
  <c r="I511" i="1"/>
  <c r="J511" i="1" s="1"/>
  <c r="K511" i="1" s="1"/>
  <c r="L510" i="1"/>
  <c r="M510" i="1" s="1"/>
  <c r="J510" i="1"/>
  <c r="K510" i="1" s="1"/>
  <c r="L509" i="1"/>
  <c r="M509" i="1" s="1"/>
  <c r="I509" i="1"/>
  <c r="J509" i="1" s="1"/>
  <c r="K509" i="1" s="1"/>
  <c r="L508" i="1"/>
  <c r="M508" i="1" s="1"/>
  <c r="I508" i="1"/>
  <c r="J508" i="1" s="1"/>
  <c r="K508" i="1" s="1"/>
  <c r="L507" i="1"/>
  <c r="M507" i="1" s="1"/>
  <c r="I507" i="1"/>
  <c r="J507" i="1" s="1"/>
  <c r="K507" i="1" s="1"/>
  <c r="L506" i="1"/>
  <c r="M506" i="1" s="1"/>
  <c r="I506" i="1"/>
  <c r="J506" i="1" s="1"/>
  <c r="K506" i="1" s="1"/>
  <c r="L505" i="1" l="1"/>
  <c r="M505" i="1" s="1"/>
  <c r="I505" i="1"/>
  <c r="F505" i="1"/>
  <c r="G505" i="1" s="1"/>
  <c r="L504" i="1"/>
  <c r="M504" i="1" s="1"/>
  <c r="I504" i="1"/>
  <c r="F504" i="1"/>
  <c r="G504" i="1" s="1"/>
  <c r="L503" i="1"/>
  <c r="M503" i="1" s="1"/>
  <c r="I503" i="1"/>
  <c r="F503" i="1"/>
  <c r="G503" i="1" s="1"/>
  <c r="L502" i="1"/>
  <c r="M502" i="1" s="1"/>
  <c r="I502" i="1"/>
  <c r="F502" i="1"/>
  <c r="G502" i="1" s="1"/>
  <c r="L501" i="1"/>
  <c r="M501" i="1" s="1"/>
  <c r="I501" i="1"/>
  <c r="F501" i="1"/>
  <c r="L500" i="1"/>
  <c r="M500" i="1" s="1"/>
  <c r="I500" i="1"/>
  <c r="F500" i="1"/>
  <c r="G500" i="1" s="1"/>
  <c r="I499" i="1"/>
  <c r="F499" i="1"/>
  <c r="L498" i="1"/>
  <c r="M498" i="1" s="1"/>
  <c r="I498" i="1"/>
  <c r="F498" i="1"/>
  <c r="L497" i="1"/>
  <c r="M497" i="1" s="1"/>
  <c r="I497" i="1"/>
  <c r="F497" i="1"/>
  <c r="G497" i="1" s="1"/>
  <c r="L496" i="1"/>
  <c r="M496" i="1" s="1"/>
  <c r="I496" i="1"/>
  <c r="F496" i="1"/>
  <c r="G496" i="1" s="1"/>
  <c r="L495" i="1"/>
  <c r="M495" i="1" s="1"/>
  <c r="I495" i="1"/>
  <c r="F495" i="1"/>
  <c r="G495" i="1" s="1"/>
  <c r="L494" i="1"/>
  <c r="M494" i="1" s="1"/>
  <c r="I494" i="1"/>
  <c r="F494" i="1"/>
  <c r="G494" i="1" s="1"/>
  <c r="L493" i="1"/>
  <c r="M493" i="1" s="1"/>
  <c r="I493" i="1"/>
  <c r="F493" i="1"/>
  <c r="G493" i="1" s="1"/>
  <c r="L492" i="1"/>
  <c r="M492" i="1" s="1"/>
  <c r="I492" i="1"/>
  <c r="F492" i="1"/>
  <c r="G492" i="1" s="1"/>
  <c r="L491" i="1"/>
  <c r="M491" i="1" s="1"/>
  <c r="I491" i="1"/>
  <c r="F491" i="1"/>
  <c r="L490" i="1"/>
  <c r="M490" i="1" s="1"/>
  <c r="I490" i="1"/>
  <c r="F490" i="1"/>
  <c r="L489" i="1"/>
  <c r="M489" i="1" s="1"/>
  <c r="I489" i="1"/>
  <c r="F489" i="1"/>
  <c r="G489" i="1" s="1"/>
  <c r="L488" i="1"/>
  <c r="M488" i="1" s="1"/>
  <c r="I488" i="1"/>
  <c r="F488" i="1"/>
  <c r="G488" i="1" s="1"/>
  <c r="L487" i="1"/>
  <c r="M487" i="1" s="1"/>
  <c r="I487" i="1"/>
  <c r="F487" i="1"/>
  <c r="G487" i="1" s="1"/>
  <c r="L486" i="1"/>
  <c r="M486" i="1" s="1"/>
  <c r="I486" i="1"/>
  <c r="F486" i="1"/>
  <c r="G486" i="1" s="1"/>
  <c r="L485" i="1"/>
  <c r="M485" i="1" s="1"/>
  <c r="I485" i="1"/>
  <c r="F485" i="1"/>
  <c r="G485" i="1" s="1"/>
  <c r="L484" i="1"/>
  <c r="M484" i="1" s="1"/>
  <c r="I484" i="1"/>
  <c r="F484" i="1"/>
  <c r="G484" i="1" s="1"/>
  <c r="L483" i="1"/>
  <c r="M483" i="1" s="1"/>
  <c r="I483" i="1"/>
  <c r="F483" i="1"/>
  <c r="L482" i="1"/>
  <c r="M482" i="1" s="1"/>
  <c r="F482" i="1"/>
  <c r="L481" i="1"/>
  <c r="M481" i="1" s="1"/>
  <c r="F481" i="1"/>
  <c r="L480" i="1"/>
  <c r="M480" i="1" s="1"/>
  <c r="F480" i="1"/>
  <c r="L479" i="1"/>
  <c r="M479" i="1" s="1"/>
  <c r="F479" i="1"/>
  <c r="L478" i="1"/>
  <c r="M478" i="1" s="1"/>
  <c r="F478" i="1"/>
  <c r="L477" i="1"/>
  <c r="M477" i="1" s="1"/>
  <c r="F477" i="1"/>
  <c r="L476" i="1"/>
  <c r="M476" i="1" s="1"/>
  <c r="F476" i="1"/>
  <c r="L475" i="1"/>
  <c r="M475" i="1" s="1"/>
  <c r="F475" i="1"/>
  <c r="L474" i="1"/>
  <c r="M474" i="1" s="1"/>
  <c r="F474" i="1"/>
  <c r="L473" i="1"/>
  <c r="M473" i="1" s="1"/>
  <c r="F473" i="1"/>
  <c r="L472" i="1"/>
  <c r="M472" i="1" s="1"/>
  <c r="F472" i="1"/>
  <c r="L471" i="1"/>
  <c r="M471" i="1" s="1"/>
  <c r="F471" i="1"/>
  <c r="L470" i="1"/>
  <c r="M470" i="1" s="1"/>
  <c r="F470" i="1"/>
  <c r="L469" i="1"/>
  <c r="M469" i="1" s="1"/>
  <c r="F469" i="1"/>
  <c r="L468" i="1"/>
  <c r="M468" i="1" s="1"/>
  <c r="F468" i="1"/>
  <c r="L467" i="1"/>
  <c r="M467" i="1" s="1"/>
  <c r="F467" i="1"/>
  <c r="L466" i="1"/>
  <c r="M466" i="1" s="1"/>
  <c r="F466" i="1"/>
  <c r="L465" i="1"/>
  <c r="M465" i="1" s="1"/>
  <c r="F465" i="1"/>
  <c r="L464" i="1"/>
  <c r="M464" i="1" s="1"/>
  <c r="F464" i="1"/>
  <c r="L463" i="1"/>
  <c r="M463" i="1" s="1"/>
  <c r="F463" i="1"/>
  <c r="L462" i="1"/>
  <c r="M462" i="1" s="1"/>
  <c r="F462" i="1"/>
  <c r="L461" i="1"/>
  <c r="M461" i="1" s="1"/>
  <c r="F461" i="1"/>
  <c r="L460" i="1"/>
  <c r="M460" i="1" s="1"/>
  <c r="F460" i="1"/>
  <c r="L459" i="1"/>
  <c r="M459" i="1" s="1"/>
  <c r="I459" i="1"/>
  <c r="F459" i="1"/>
  <c r="G459" i="1" s="1"/>
  <c r="L458" i="1"/>
  <c r="M458" i="1" s="1"/>
  <c r="F458" i="1"/>
  <c r="L457" i="1"/>
  <c r="M457" i="1" s="1"/>
  <c r="I457" i="1"/>
  <c r="F457" i="1"/>
  <c r="G457" i="1" s="1"/>
  <c r="L456" i="1"/>
  <c r="M456" i="1" s="1"/>
  <c r="I456" i="1"/>
  <c r="F456" i="1"/>
  <c r="G456" i="1" s="1"/>
  <c r="L455" i="1"/>
  <c r="M455" i="1" s="1"/>
  <c r="F455" i="1"/>
  <c r="L454" i="1"/>
  <c r="M454" i="1" s="1"/>
  <c r="I454" i="1"/>
  <c r="F454" i="1"/>
  <c r="G454" i="1" s="1"/>
  <c r="L453" i="1"/>
  <c r="M453" i="1" s="1"/>
  <c r="F453" i="1"/>
  <c r="L452" i="1"/>
  <c r="M452" i="1" s="1"/>
  <c r="I452" i="1"/>
  <c r="F452" i="1"/>
  <c r="G452" i="1" s="1"/>
  <c r="L451" i="1"/>
  <c r="M451" i="1" s="1"/>
  <c r="I451" i="1"/>
  <c r="F451" i="1"/>
  <c r="G451" i="1" s="1"/>
  <c r="L450" i="1"/>
  <c r="M450" i="1" s="1"/>
  <c r="I450" i="1"/>
  <c r="F450" i="1"/>
  <c r="G450" i="1" s="1"/>
  <c r="L449" i="1"/>
  <c r="M449" i="1" s="1"/>
  <c r="F449" i="1"/>
  <c r="L448" i="1"/>
  <c r="M448" i="1" s="1"/>
  <c r="I448" i="1"/>
  <c r="F448" i="1"/>
  <c r="G448" i="1" s="1"/>
  <c r="L447" i="1"/>
  <c r="M447" i="1" s="1"/>
  <c r="I447" i="1"/>
  <c r="F447" i="1"/>
  <c r="G447" i="1" s="1"/>
  <c r="L446" i="1"/>
  <c r="M446" i="1" s="1"/>
  <c r="F446" i="1"/>
  <c r="L445" i="1"/>
  <c r="M445" i="1" s="1"/>
  <c r="F445" i="1"/>
  <c r="L444" i="1"/>
  <c r="M444" i="1" s="1"/>
  <c r="I444" i="1"/>
  <c r="F444" i="1"/>
  <c r="G444" i="1" s="1"/>
  <c r="L443" i="1"/>
  <c r="M443" i="1" s="1"/>
  <c r="I443" i="1"/>
  <c r="F443" i="1"/>
  <c r="G443" i="1" s="1"/>
  <c r="L442" i="1"/>
  <c r="M442" i="1" s="1"/>
  <c r="F442" i="1"/>
  <c r="L441" i="1"/>
  <c r="M441" i="1" s="1"/>
  <c r="I441" i="1"/>
  <c r="F441" i="1"/>
  <c r="L440" i="1"/>
  <c r="M440" i="1" s="1"/>
  <c r="I440" i="1"/>
  <c r="F440" i="1"/>
  <c r="G440" i="1" s="1"/>
  <c r="L439" i="1"/>
  <c r="M439" i="1" s="1"/>
  <c r="I439" i="1"/>
  <c r="F439" i="1"/>
  <c r="G439" i="1" s="1"/>
  <c r="L438" i="1"/>
  <c r="M438" i="1" s="1"/>
  <c r="I438" i="1"/>
  <c r="F438" i="1"/>
  <c r="G438" i="1" s="1"/>
  <c r="L437" i="1"/>
  <c r="M437" i="1" s="1"/>
  <c r="F437" i="1"/>
  <c r="L436" i="1"/>
  <c r="M436" i="1" s="1"/>
  <c r="I436" i="1"/>
  <c r="J436" i="1" s="1"/>
  <c r="K436" i="1" s="1"/>
  <c r="L435" i="1"/>
  <c r="M435" i="1" s="1"/>
  <c r="I435" i="1"/>
  <c r="F435" i="1"/>
  <c r="L434" i="1"/>
  <c r="M434" i="1" s="1"/>
  <c r="I434" i="1"/>
  <c r="F434" i="1"/>
  <c r="G434" i="1" s="1"/>
  <c r="L433" i="1"/>
  <c r="M433" i="1" s="1"/>
  <c r="I433" i="1"/>
  <c r="F433" i="1"/>
  <c r="G433" i="1" s="1"/>
  <c r="L432" i="1"/>
  <c r="M432" i="1" s="1"/>
  <c r="I432" i="1"/>
  <c r="F432" i="1"/>
  <c r="G432" i="1" s="1"/>
  <c r="L431" i="1"/>
  <c r="M431" i="1" s="1"/>
  <c r="J431" i="1"/>
  <c r="K431" i="1" s="1"/>
  <c r="L430" i="1"/>
  <c r="M430" i="1" s="1"/>
  <c r="F430" i="1"/>
  <c r="L429" i="1"/>
  <c r="M429" i="1" s="1"/>
  <c r="I429" i="1"/>
  <c r="F429" i="1"/>
  <c r="G429" i="1" s="1"/>
  <c r="L428" i="1"/>
  <c r="M428" i="1" s="1"/>
  <c r="I428" i="1"/>
  <c r="J428" i="1" s="1"/>
  <c r="K428" i="1" s="1"/>
  <c r="L427" i="1"/>
  <c r="M427" i="1" s="1"/>
  <c r="I427" i="1"/>
  <c r="J427" i="1" s="1"/>
  <c r="K427" i="1" s="1"/>
  <c r="L426" i="1"/>
  <c r="M426" i="1" s="1"/>
  <c r="I426" i="1"/>
  <c r="J426" i="1" s="1"/>
  <c r="K426" i="1" s="1"/>
  <c r="L425" i="1"/>
  <c r="M425" i="1" s="1"/>
  <c r="I425" i="1"/>
  <c r="J425" i="1" s="1"/>
  <c r="K425" i="1" s="1"/>
  <c r="L424" i="1"/>
  <c r="M424" i="1" s="1"/>
  <c r="J424" i="1"/>
  <c r="K424" i="1" s="1"/>
  <c r="L423" i="1"/>
  <c r="M423" i="1" s="1"/>
  <c r="F423" i="1"/>
  <c r="L422" i="1"/>
  <c r="M422" i="1" s="1"/>
  <c r="J422" i="1"/>
  <c r="K422" i="1" s="1"/>
  <c r="L421" i="1"/>
  <c r="M421" i="1" s="1"/>
  <c r="I421" i="1"/>
  <c r="F421" i="1"/>
  <c r="G421" i="1" s="1"/>
  <c r="L420" i="1"/>
  <c r="M420" i="1" s="1"/>
  <c r="J420" i="1"/>
  <c r="K420" i="1" s="1"/>
  <c r="L419" i="1"/>
  <c r="M419" i="1" s="1"/>
  <c r="F419" i="1"/>
  <c r="L418" i="1"/>
  <c r="M418" i="1" s="1"/>
  <c r="I418" i="1"/>
  <c r="J418" i="1" s="1"/>
  <c r="K418" i="1" s="1"/>
  <c r="L417" i="1"/>
  <c r="M417" i="1" s="1"/>
  <c r="I417" i="1"/>
  <c r="F417" i="1"/>
  <c r="G417" i="1" s="1"/>
  <c r="L416" i="1"/>
  <c r="M416" i="1" s="1"/>
  <c r="I416" i="1"/>
  <c r="F416" i="1"/>
  <c r="G416" i="1" s="1"/>
  <c r="L415" i="1"/>
  <c r="M415" i="1" s="1"/>
  <c r="I415" i="1"/>
  <c r="J415" i="1" s="1"/>
  <c r="K415" i="1" s="1"/>
  <c r="L414" i="1"/>
  <c r="M414" i="1" s="1"/>
  <c r="J414" i="1"/>
  <c r="K414" i="1" s="1"/>
  <c r="L413" i="1"/>
  <c r="M413" i="1" s="1"/>
  <c r="J413" i="1"/>
  <c r="K413" i="1" s="1"/>
  <c r="L412" i="1"/>
  <c r="M412" i="1" s="1"/>
  <c r="I412" i="1"/>
  <c r="F412" i="1"/>
  <c r="G412" i="1" s="1"/>
  <c r="L411" i="1"/>
  <c r="M411" i="1" s="1"/>
  <c r="I411" i="1"/>
  <c r="F411" i="1"/>
  <c r="G411" i="1" s="1"/>
  <c r="L410" i="1"/>
  <c r="M410" i="1" s="1"/>
  <c r="I410" i="1"/>
  <c r="F410" i="1"/>
  <c r="G410" i="1" s="1"/>
  <c r="L409" i="1"/>
  <c r="M409" i="1" s="1"/>
  <c r="I409" i="1"/>
  <c r="F409" i="1"/>
  <c r="G409" i="1" s="1"/>
  <c r="L408" i="1"/>
  <c r="M408" i="1" s="1"/>
  <c r="F408" i="1"/>
  <c r="L407" i="1"/>
  <c r="M407" i="1" s="1"/>
  <c r="F407" i="1"/>
  <c r="L406" i="1"/>
  <c r="M406" i="1" s="1"/>
  <c r="F406" i="1"/>
  <c r="L405" i="1"/>
  <c r="M405" i="1" s="1"/>
  <c r="I405" i="1"/>
  <c r="F405" i="1"/>
  <c r="G405" i="1" s="1"/>
  <c r="L404" i="1"/>
  <c r="M404" i="1" s="1"/>
  <c r="I404" i="1"/>
  <c r="F404" i="1"/>
  <c r="G404" i="1" s="1"/>
  <c r="L403" i="1"/>
  <c r="M403" i="1" s="1"/>
  <c r="I403" i="1"/>
  <c r="F403" i="1"/>
  <c r="G403" i="1" s="1"/>
  <c r="L402" i="1"/>
  <c r="M402" i="1" s="1"/>
  <c r="I402" i="1"/>
  <c r="F402" i="1"/>
  <c r="G402" i="1" s="1"/>
  <c r="L401" i="1"/>
  <c r="M401" i="1" s="1"/>
  <c r="I401" i="1"/>
  <c r="F401" i="1"/>
  <c r="G401" i="1" s="1"/>
  <c r="L400" i="1"/>
  <c r="M400" i="1" s="1"/>
  <c r="F400" i="1"/>
  <c r="L399" i="1"/>
  <c r="M399" i="1" s="1"/>
  <c r="F399" i="1"/>
  <c r="L398" i="1"/>
  <c r="M398" i="1" s="1"/>
  <c r="I398" i="1"/>
  <c r="F398" i="1"/>
  <c r="G398" i="1" s="1"/>
  <c r="L397" i="1"/>
  <c r="M397" i="1" s="1"/>
  <c r="I397" i="1"/>
  <c r="F397" i="1"/>
  <c r="G397" i="1" s="1"/>
  <c r="L396" i="1"/>
  <c r="M396" i="1" s="1"/>
  <c r="I396" i="1"/>
  <c r="F396" i="1"/>
  <c r="G396" i="1" s="1"/>
  <c r="L395" i="1"/>
  <c r="M395" i="1" s="1"/>
  <c r="F395" i="1"/>
  <c r="L394" i="1"/>
  <c r="M394" i="1" s="1"/>
  <c r="I394" i="1"/>
  <c r="F394" i="1"/>
  <c r="G394" i="1" s="1"/>
  <c r="L393" i="1"/>
  <c r="M393" i="1" s="1"/>
  <c r="I393" i="1"/>
  <c r="F393" i="1"/>
  <c r="G393" i="1" s="1"/>
  <c r="L392" i="1"/>
  <c r="M392" i="1" s="1"/>
  <c r="I392" i="1"/>
  <c r="F392" i="1"/>
  <c r="G392" i="1" s="1"/>
  <c r="L391" i="1"/>
  <c r="M391" i="1" s="1"/>
  <c r="F391" i="1"/>
  <c r="L390" i="1"/>
  <c r="M390" i="1" s="1"/>
  <c r="F390" i="1"/>
  <c r="L389" i="1"/>
  <c r="M389" i="1" s="1"/>
  <c r="I389" i="1"/>
  <c r="F389" i="1"/>
  <c r="G389" i="1" s="1"/>
  <c r="L388" i="1"/>
  <c r="M388" i="1" s="1"/>
  <c r="I388" i="1"/>
  <c r="F388" i="1"/>
  <c r="G388" i="1" s="1"/>
  <c r="L387" i="1"/>
  <c r="M387" i="1" s="1"/>
  <c r="I387" i="1"/>
  <c r="F387" i="1"/>
  <c r="G387" i="1" s="1"/>
  <c r="L386" i="1"/>
  <c r="M386" i="1" s="1"/>
  <c r="I386" i="1"/>
  <c r="F386" i="1"/>
  <c r="G386" i="1" s="1"/>
  <c r="L385" i="1"/>
  <c r="M385" i="1" s="1"/>
  <c r="I385" i="1"/>
  <c r="F385" i="1"/>
  <c r="G385" i="1" s="1"/>
  <c r="L384" i="1"/>
  <c r="M384" i="1" s="1"/>
  <c r="I384" i="1"/>
  <c r="F384" i="1"/>
  <c r="G384" i="1" s="1"/>
  <c r="L383" i="1"/>
  <c r="M383" i="1" s="1"/>
  <c r="I383" i="1"/>
  <c r="F383" i="1"/>
  <c r="G383" i="1" s="1"/>
  <c r="L382" i="1"/>
  <c r="M382" i="1" s="1"/>
  <c r="I382" i="1"/>
  <c r="F382" i="1"/>
  <c r="G382" i="1" s="1"/>
  <c r="L381" i="1"/>
  <c r="M381" i="1" s="1"/>
  <c r="I381" i="1"/>
  <c r="F381" i="1"/>
  <c r="G381" i="1" s="1"/>
  <c r="L380" i="1"/>
  <c r="M380" i="1" s="1"/>
  <c r="I380" i="1"/>
  <c r="F380" i="1"/>
  <c r="G380" i="1" s="1"/>
  <c r="L379" i="1"/>
  <c r="M379" i="1" s="1"/>
  <c r="I379" i="1"/>
  <c r="F379" i="1"/>
  <c r="G379" i="1" s="1"/>
  <c r="L378" i="1"/>
  <c r="M378" i="1" s="1"/>
  <c r="I378" i="1"/>
  <c r="F378" i="1"/>
  <c r="G378" i="1" s="1"/>
  <c r="L377" i="1"/>
  <c r="M377" i="1" s="1"/>
  <c r="I377" i="1"/>
  <c r="F377" i="1"/>
  <c r="G377" i="1" s="1"/>
  <c r="L376" i="1"/>
  <c r="M376" i="1" s="1"/>
  <c r="I376" i="1"/>
  <c r="F376" i="1"/>
  <c r="G376" i="1" s="1"/>
  <c r="L375" i="1"/>
  <c r="M375" i="1" s="1"/>
  <c r="I375" i="1"/>
  <c r="F375" i="1"/>
  <c r="G375" i="1" s="1"/>
  <c r="L374" i="1"/>
  <c r="M374" i="1" s="1"/>
  <c r="I374" i="1"/>
  <c r="F374" i="1"/>
  <c r="G374" i="1" s="1"/>
  <c r="L373" i="1"/>
  <c r="M373" i="1" s="1"/>
  <c r="I373" i="1"/>
  <c r="F373" i="1"/>
  <c r="G373" i="1" s="1"/>
  <c r="L372" i="1"/>
  <c r="M372" i="1" s="1"/>
  <c r="I372" i="1"/>
  <c r="F372" i="1"/>
  <c r="G372" i="1" s="1"/>
  <c r="L371" i="1"/>
  <c r="M371" i="1" s="1"/>
  <c r="I371" i="1"/>
  <c r="F371" i="1"/>
  <c r="G371" i="1" s="1"/>
  <c r="L370" i="1"/>
  <c r="M370" i="1" s="1"/>
  <c r="I370" i="1"/>
  <c r="F370" i="1"/>
  <c r="G370" i="1" s="1"/>
  <c r="L369" i="1"/>
  <c r="M369" i="1" s="1"/>
  <c r="I369" i="1"/>
  <c r="F369" i="1"/>
  <c r="G369" i="1" s="1"/>
  <c r="L368" i="1"/>
  <c r="M368" i="1" s="1"/>
  <c r="I368" i="1"/>
  <c r="F368" i="1"/>
  <c r="G368" i="1" s="1"/>
  <c r="L367" i="1"/>
  <c r="M367" i="1" s="1"/>
  <c r="I367" i="1"/>
  <c r="F367" i="1"/>
  <c r="G367" i="1" s="1"/>
  <c r="L366" i="1"/>
  <c r="M366" i="1" s="1"/>
  <c r="I366" i="1"/>
  <c r="F366" i="1"/>
  <c r="G366" i="1" s="1"/>
  <c r="L365" i="1"/>
  <c r="M365" i="1" s="1"/>
  <c r="I365" i="1"/>
  <c r="F365" i="1"/>
  <c r="G365" i="1" s="1"/>
  <c r="L364" i="1"/>
  <c r="M364" i="1" s="1"/>
  <c r="I364" i="1"/>
  <c r="F364" i="1"/>
  <c r="G364" i="1" s="1"/>
  <c r="L363" i="1"/>
  <c r="M363" i="1" s="1"/>
  <c r="I363" i="1"/>
  <c r="F363" i="1"/>
  <c r="G363" i="1" s="1"/>
  <c r="L362" i="1"/>
  <c r="M362" i="1" s="1"/>
  <c r="I362" i="1"/>
  <c r="F362" i="1"/>
  <c r="G362" i="1" s="1"/>
  <c r="L361" i="1"/>
  <c r="M361" i="1" s="1"/>
  <c r="I361" i="1"/>
  <c r="F361" i="1"/>
  <c r="G361" i="1" s="1"/>
  <c r="L360" i="1"/>
  <c r="M360" i="1" s="1"/>
  <c r="F360" i="1"/>
  <c r="L359" i="1"/>
  <c r="M359" i="1" s="1"/>
  <c r="F359" i="1"/>
  <c r="L358" i="1"/>
  <c r="M358" i="1" s="1"/>
  <c r="I358" i="1"/>
  <c r="F358" i="1"/>
  <c r="G358" i="1" s="1"/>
  <c r="L357" i="1"/>
  <c r="M357" i="1" s="1"/>
  <c r="I357" i="1"/>
  <c r="F357" i="1"/>
  <c r="G357" i="1" s="1"/>
  <c r="L356" i="1"/>
  <c r="M356" i="1" s="1"/>
  <c r="I356" i="1"/>
  <c r="F356" i="1"/>
  <c r="G356" i="1" s="1"/>
  <c r="L355" i="1"/>
  <c r="M355" i="1" s="1"/>
  <c r="I355" i="1"/>
  <c r="F355" i="1"/>
  <c r="G355" i="1" s="1"/>
  <c r="L354" i="1"/>
  <c r="M354" i="1" s="1"/>
  <c r="F354" i="1"/>
  <c r="L353" i="1"/>
  <c r="M353" i="1" s="1"/>
  <c r="I353" i="1"/>
  <c r="F353" i="1"/>
  <c r="G353" i="1" s="1"/>
  <c r="L352" i="1"/>
  <c r="M352" i="1" s="1"/>
  <c r="I352" i="1"/>
  <c r="F352" i="1"/>
  <c r="G352" i="1" s="1"/>
  <c r="L351" i="1"/>
  <c r="M351" i="1" s="1"/>
  <c r="F351" i="1"/>
  <c r="L350" i="1"/>
  <c r="M350" i="1" s="1"/>
  <c r="I350" i="1"/>
  <c r="F350" i="1"/>
  <c r="G350" i="1" s="1"/>
  <c r="L349" i="1"/>
  <c r="M349" i="1" s="1"/>
  <c r="F349" i="1"/>
  <c r="L348" i="1"/>
  <c r="M348" i="1" s="1"/>
  <c r="I348" i="1"/>
  <c r="F348" i="1"/>
  <c r="G348" i="1" s="1"/>
  <c r="L347" i="1"/>
  <c r="M347" i="1" s="1"/>
  <c r="I347" i="1"/>
  <c r="F347" i="1"/>
  <c r="G347" i="1" s="1"/>
  <c r="L346" i="1"/>
  <c r="M346" i="1" s="1"/>
  <c r="I346" i="1"/>
  <c r="F346" i="1"/>
  <c r="G346" i="1" s="1"/>
  <c r="L345" i="1"/>
  <c r="M345" i="1" s="1"/>
  <c r="I345" i="1"/>
  <c r="F345" i="1"/>
  <c r="G345" i="1" s="1"/>
  <c r="L344" i="1"/>
  <c r="M344" i="1" s="1"/>
  <c r="I344" i="1"/>
  <c r="F344" i="1"/>
  <c r="G344" i="1" s="1"/>
  <c r="L343" i="1"/>
  <c r="M343" i="1" s="1"/>
  <c r="I343" i="1"/>
  <c r="F343" i="1"/>
  <c r="G343" i="1" s="1"/>
  <c r="L342" i="1"/>
  <c r="M342" i="1" s="1"/>
  <c r="I342" i="1"/>
  <c r="F342" i="1"/>
  <c r="G342" i="1" s="1"/>
  <c r="L341" i="1"/>
  <c r="M341" i="1" s="1"/>
  <c r="I341" i="1"/>
  <c r="F341" i="1"/>
  <c r="L340" i="1"/>
  <c r="M340" i="1" s="1"/>
  <c r="I340" i="1"/>
  <c r="F340" i="1"/>
  <c r="G340" i="1" s="1"/>
  <c r="L339" i="1"/>
  <c r="M339" i="1" s="1"/>
  <c r="I339" i="1"/>
  <c r="F339" i="1"/>
  <c r="G339" i="1" s="1"/>
  <c r="L338" i="1"/>
  <c r="M338" i="1" s="1"/>
  <c r="I338" i="1"/>
  <c r="F338" i="1"/>
  <c r="G338" i="1" s="1"/>
  <c r="L337" i="1"/>
  <c r="M337" i="1" s="1"/>
  <c r="I337" i="1"/>
  <c r="F337" i="1"/>
  <c r="G337" i="1" s="1"/>
  <c r="L336" i="1"/>
  <c r="M336" i="1" s="1"/>
  <c r="I336" i="1"/>
  <c r="F336" i="1"/>
  <c r="G336" i="1" s="1"/>
  <c r="L335" i="1"/>
  <c r="M335" i="1" s="1"/>
  <c r="I335" i="1"/>
  <c r="F335" i="1"/>
  <c r="G335" i="1" s="1"/>
  <c r="L334" i="1"/>
  <c r="M334" i="1" s="1"/>
  <c r="I334" i="1"/>
  <c r="F334" i="1"/>
  <c r="G334" i="1" s="1"/>
  <c r="L333" i="1"/>
  <c r="M333" i="1" s="1"/>
  <c r="I333" i="1"/>
  <c r="F333" i="1"/>
  <c r="L332" i="1"/>
  <c r="M332" i="1" s="1"/>
  <c r="I332" i="1"/>
  <c r="F332" i="1"/>
  <c r="G332" i="1" s="1"/>
  <c r="L331" i="1"/>
  <c r="M331" i="1" s="1"/>
  <c r="I331" i="1"/>
  <c r="F331" i="1"/>
  <c r="G331" i="1" s="1"/>
  <c r="L330" i="1"/>
  <c r="M330" i="1" s="1"/>
  <c r="I330" i="1"/>
  <c r="F330" i="1"/>
  <c r="G330" i="1" s="1"/>
  <c r="L329" i="1"/>
  <c r="M329" i="1" s="1"/>
  <c r="I329" i="1"/>
  <c r="F329" i="1"/>
  <c r="G329" i="1" s="1"/>
  <c r="L328" i="1"/>
  <c r="M328" i="1" s="1"/>
  <c r="I328" i="1"/>
  <c r="F328" i="1"/>
  <c r="G328" i="1" s="1"/>
  <c r="L327" i="1"/>
  <c r="M327" i="1" s="1"/>
  <c r="I327" i="1"/>
  <c r="F327" i="1"/>
  <c r="G327" i="1" s="1"/>
  <c r="L326" i="1"/>
  <c r="M326" i="1" s="1"/>
  <c r="I326" i="1"/>
  <c r="F326" i="1"/>
  <c r="G326" i="1" s="1"/>
  <c r="L325" i="1"/>
  <c r="M325" i="1" s="1"/>
  <c r="I325" i="1"/>
  <c r="F325" i="1"/>
  <c r="L324" i="1"/>
  <c r="M324" i="1" s="1"/>
  <c r="I324" i="1"/>
  <c r="F324" i="1"/>
  <c r="G324" i="1" s="1"/>
  <c r="L323" i="1"/>
  <c r="M323" i="1" s="1"/>
  <c r="I323" i="1"/>
  <c r="F323" i="1"/>
  <c r="G323" i="1" s="1"/>
  <c r="L322" i="1"/>
  <c r="M322" i="1" s="1"/>
  <c r="I322" i="1"/>
  <c r="F322" i="1"/>
  <c r="G322" i="1" s="1"/>
  <c r="L321" i="1"/>
  <c r="M321" i="1" s="1"/>
  <c r="I321" i="1"/>
  <c r="F321" i="1"/>
  <c r="G321" i="1" s="1"/>
  <c r="L320" i="1"/>
  <c r="M320" i="1" s="1"/>
  <c r="I320" i="1"/>
  <c r="F320" i="1"/>
  <c r="G320" i="1" s="1"/>
  <c r="L319" i="1"/>
  <c r="M319" i="1" s="1"/>
  <c r="I319" i="1"/>
  <c r="F319" i="1"/>
  <c r="G319" i="1" s="1"/>
  <c r="L318" i="1"/>
  <c r="M318" i="1" s="1"/>
  <c r="I318" i="1"/>
  <c r="F318" i="1"/>
  <c r="G318" i="1" s="1"/>
  <c r="L317" i="1"/>
  <c r="M317" i="1" s="1"/>
  <c r="I317" i="1"/>
  <c r="F317" i="1"/>
  <c r="L316" i="1"/>
  <c r="M316" i="1" s="1"/>
  <c r="I316" i="1"/>
  <c r="F316" i="1"/>
  <c r="G316" i="1" s="1"/>
  <c r="L315" i="1"/>
  <c r="M315" i="1" s="1"/>
  <c r="I315" i="1"/>
  <c r="F315" i="1"/>
  <c r="G315" i="1" s="1"/>
  <c r="L314" i="1"/>
  <c r="M314" i="1" s="1"/>
  <c r="I314" i="1"/>
  <c r="F314" i="1"/>
  <c r="G314" i="1" s="1"/>
  <c r="L313" i="1"/>
  <c r="M313" i="1" s="1"/>
  <c r="I313" i="1"/>
  <c r="F313" i="1"/>
  <c r="G313" i="1" s="1"/>
  <c r="L312" i="1"/>
  <c r="M312" i="1" s="1"/>
  <c r="I312" i="1"/>
  <c r="F312" i="1"/>
  <c r="G312" i="1" s="1"/>
  <c r="L311" i="1"/>
  <c r="M311" i="1" s="1"/>
  <c r="I311" i="1"/>
  <c r="F311" i="1"/>
  <c r="G311" i="1" s="1"/>
  <c r="L310" i="1"/>
  <c r="M310" i="1" s="1"/>
  <c r="I310" i="1"/>
  <c r="F310" i="1"/>
  <c r="G310" i="1" s="1"/>
  <c r="L309" i="1"/>
  <c r="M309" i="1" s="1"/>
  <c r="I309" i="1"/>
  <c r="F309" i="1"/>
  <c r="L308" i="1"/>
  <c r="M308" i="1" s="1"/>
  <c r="I308" i="1"/>
  <c r="F308" i="1"/>
  <c r="G308" i="1" s="1"/>
  <c r="L307" i="1"/>
  <c r="M307" i="1" s="1"/>
  <c r="F307" i="1"/>
  <c r="L306" i="1"/>
  <c r="M306" i="1" s="1"/>
  <c r="F306" i="1"/>
  <c r="L305" i="1"/>
  <c r="M305" i="1" s="1"/>
  <c r="I305" i="1"/>
  <c r="F305" i="1"/>
  <c r="G305" i="1" s="1"/>
  <c r="L304" i="1"/>
  <c r="M304" i="1" s="1"/>
  <c r="I304" i="1"/>
  <c r="F304" i="1"/>
  <c r="G304" i="1" s="1"/>
  <c r="L303" i="1"/>
  <c r="M303" i="1" s="1"/>
  <c r="I303" i="1"/>
  <c r="F303" i="1"/>
  <c r="L302" i="1"/>
  <c r="M302" i="1" s="1"/>
  <c r="I302" i="1"/>
  <c r="F302" i="1"/>
  <c r="G302" i="1" s="1"/>
  <c r="L301" i="1"/>
  <c r="M301" i="1" s="1"/>
  <c r="F301" i="1"/>
  <c r="L300" i="1"/>
  <c r="M300" i="1" s="1"/>
  <c r="I300" i="1"/>
  <c r="F300" i="1"/>
  <c r="L299" i="1"/>
  <c r="M299" i="1" s="1"/>
  <c r="I299" i="1"/>
  <c r="F299" i="1"/>
  <c r="G299" i="1" s="1"/>
  <c r="L298" i="1"/>
  <c r="M298" i="1" s="1"/>
  <c r="I298" i="1"/>
  <c r="F298" i="1"/>
  <c r="G298" i="1" s="1"/>
  <c r="L297" i="1"/>
  <c r="M297" i="1" s="1"/>
  <c r="I297" i="1"/>
  <c r="F297" i="1"/>
  <c r="G297" i="1" s="1"/>
  <c r="L296" i="1"/>
  <c r="M296" i="1" s="1"/>
  <c r="I296" i="1"/>
  <c r="F296" i="1"/>
  <c r="G296" i="1" s="1"/>
  <c r="L295" i="1"/>
  <c r="M295" i="1" s="1"/>
  <c r="I295" i="1"/>
  <c r="F295" i="1"/>
  <c r="G295" i="1" s="1"/>
  <c r="L294" i="1"/>
  <c r="M294" i="1" s="1"/>
  <c r="I294" i="1"/>
  <c r="F294" i="1"/>
  <c r="G294" i="1" s="1"/>
  <c r="L293" i="1"/>
  <c r="M293" i="1" s="1"/>
  <c r="I293" i="1"/>
  <c r="F293" i="1"/>
  <c r="G293" i="1" s="1"/>
  <c r="L292" i="1"/>
  <c r="M292" i="1" s="1"/>
  <c r="I292" i="1"/>
  <c r="F292" i="1"/>
  <c r="L291" i="1"/>
  <c r="M291" i="1" s="1"/>
  <c r="I291" i="1"/>
  <c r="F291" i="1"/>
  <c r="G291" i="1" s="1"/>
  <c r="L290" i="1"/>
  <c r="M290" i="1" s="1"/>
  <c r="I290" i="1"/>
  <c r="F290" i="1"/>
  <c r="G290" i="1" s="1"/>
  <c r="L289" i="1"/>
  <c r="M289" i="1" s="1"/>
  <c r="I289" i="1"/>
  <c r="F289" i="1"/>
  <c r="G289" i="1" s="1"/>
  <c r="L288" i="1"/>
  <c r="M288" i="1" s="1"/>
  <c r="I288" i="1"/>
  <c r="F288" i="1"/>
  <c r="G288" i="1" s="1"/>
  <c r="L287" i="1"/>
  <c r="M287" i="1" s="1"/>
  <c r="I287" i="1"/>
  <c r="F287" i="1"/>
  <c r="G287" i="1" s="1"/>
  <c r="L286" i="1"/>
  <c r="M286" i="1" s="1"/>
  <c r="I286" i="1"/>
  <c r="F286" i="1"/>
  <c r="G286" i="1" s="1"/>
  <c r="L285" i="1"/>
  <c r="M285" i="1" s="1"/>
  <c r="I285" i="1"/>
  <c r="F285" i="1"/>
  <c r="G285" i="1" s="1"/>
  <c r="L284" i="1"/>
  <c r="M284" i="1" s="1"/>
  <c r="I284" i="1"/>
  <c r="F284" i="1"/>
  <c r="G284" i="1" s="1"/>
  <c r="L283" i="1"/>
  <c r="M283" i="1" s="1"/>
  <c r="I283" i="1"/>
  <c r="F283" i="1"/>
  <c r="G283" i="1" s="1"/>
  <c r="L282" i="1"/>
  <c r="M282" i="1" s="1"/>
  <c r="I282" i="1"/>
  <c r="F282" i="1"/>
  <c r="G282" i="1" s="1"/>
  <c r="L281" i="1"/>
  <c r="M281" i="1" s="1"/>
  <c r="I281" i="1"/>
  <c r="F281" i="1"/>
  <c r="G281" i="1" s="1"/>
  <c r="L280" i="1"/>
  <c r="M280" i="1" s="1"/>
  <c r="I280" i="1"/>
  <c r="F280" i="1"/>
  <c r="G280" i="1" s="1"/>
  <c r="L279" i="1"/>
  <c r="M279" i="1" s="1"/>
  <c r="I279" i="1"/>
  <c r="F279" i="1"/>
  <c r="G279" i="1" s="1"/>
  <c r="L278" i="1"/>
  <c r="M278" i="1" s="1"/>
  <c r="I278" i="1"/>
  <c r="F278" i="1"/>
  <c r="G278" i="1" s="1"/>
  <c r="L277" i="1"/>
  <c r="M277" i="1" s="1"/>
  <c r="I277" i="1"/>
  <c r="F277" i="1"/>
  <c r="G277" i="1" s="1"/>
  <c r="L276" i="1"/>
  <c r="M276" i="1" s="1"/>
  <c r="I276" i="1"/>
  <c r="F276" i="1"/>
  <c r="L275" i="1"/>
  <c r="M275" i="1" s="1"/>
  <c r="I275" i="1"/>
  <c r="F275" i="1"/>
  <c r="G275" i="1" s="1"/>
  <c r="L274" i="1"/>
  <c r="M274" i="1" s="1"/>
  <c r="I274" i="1"/>
  <c r="F274" i="1"/>
  <c r="G274" i="1" s="1"/>
  <c r="L273" i="1"/>
  <c r="M273" i="1" s="1"/>
  <c r="I273" i="1"/>
  <c r="F273" i="1"/>
  <c r="G273" i="1" s="1"/>
  <c r="L272" i="1"/>
  <c r="M272" i="1" s="1"/>
  <c r="I272" i="1"/>
  <c r="F272" i="1"/>
  <c r="G272" i="1" s="1"/>
  <c r="L271" i="1"/>
  <c r="M271" i="1" s="1"/>
  <c r="I271" i="1"/>
  <c r="F271" i="1"/>
  <c r="G271" i="1" s="1"/>
  <c r="L270" i="1"/>
  <c r="M270" i="1" s="1"/>
  <c r="I270" i="1"/>
  <c r="F270" i="1"/>
  <c r="G270" i="1" s="1"/>
  <c r="L269" i="1"/>
  <c r="M269" i="1" s="1"/>
  <c r="I269" i="1"/>
  <c r="F269" i="1"/>
  <c r="G269" i="1" s="1"/>
  <c r="L268" i="1"/>
  <c r="M268" i="1" s="1"/>
  <c r="I268" i="1"/>
  <c r="F268" i="1"/>
  <c r="L267" i="1"/>
  <c r="M267" i="1" s="1"/>
  <c r="I267" i="1"/>
  <c r="F267" i="1"/>
  <c r="G267" i="1" s="1"/>
  <c r="L266" i="1"/>
  <c r="M266" i="1" s="1"/>
  <c r="I266" i="1"/>
  <c r="F266" i="1"/>
  <c r="G266" i="1" s="1"/>
  <c r="L265" i="1"/>
  <c r="M265" i="1" s="1"/>
  <c r="I265" i="1"/>
  <c r="F265" i="1"/>
  <c r="G265" i="1" s="1"/>
  <c r="L264" i="1"/>
  <c r="M264" i="1" s="1"/>
  <c r="I264" i="1"/>
  <c r="F264" i="1"/>
  <c r="G264" i="1" s="1"/>
  <c r="L263" i="1"/>
  <c r="M263" i="1" s="1"/>
  <c r="I263" i="1"/>
  <c r="F263" i="1"/>
  <c r="G263" i="1" s="1"/>
  <c r="L262" i="1"/>
  <c r="M262" i="1" s="1"/>
  <c r="I262" i="1"/>
  <c r="F262" i="1"/>
  <c r="G262" i="1" s="1"/>
  <c r="L261" i="1"/>
  <c r="M261" i="1" s="1"/>
  <c r="I261" i="1"/>
  <c r="F261" i="1"/>
  <c r="G261" i="1" s="1"/>
  <c r="L260" i="1"/>
  <c r="M260" i="1" s="1"/>
  <c r="I260" i="1"/>
  <c r="F260" i="1"/>
  <c r="L259" i="1"/>
  <c r="M259" i="1" s="1"/>
  <c r="I259" i="1"/>
  <c r="F259" i="1"/>
  <c r="G259" i="1" s="1"/>
  <c r="L258" i="1"/>
  <c r="M258" i="1" s="1"/>
  <c r="I258" i="1"/>
  <c r="F258" i="1"/>
  <c r="G258" i="1" s="1"/>
  <c r="L257" i="1"/>
  <c r="M257" i="1" s="1"/>
  <c r="I257" i="1"/>
  <c r="F257" i="1"/>
  <c r="G257" i="1" s="1"/>
  <c r="L256" i="1"/>
  <c r="M256" i="1" s="1"/>
  <c r="I256" i="1"/>
  <c r="F256" i="1"/>
  <c r="G256" i="1" s="1"/>
  <c r="L255" i="1"/>
  <c r="M255" i="1" s="1"/>
  <c r="I255" i="1"/>
  <c r="F255" i="1"/>
  <c r="G255" i="1" s="1"/>
  <c r="L254" i="1"/>
  <c r="M254" i="1" s="1"/>
  <c r="I254" i="1"/>
  <c r="F254" i="1"/>
  <c r="G254" i="1" s="1"/>
  <c r="L253" i="1"/>
  <c r="M253" i="1" s="1"/>
  <c r="I253" i="1"/>
  <c r="F253" i="1"/>
  <c r="G253" i="1" s="1"/>
  <c r="L252" i="1"/>
  <c r="M252" i="1" s="1"/>
  <c r="I252" i="1"/>
  <c r="F252" i="1"/>
  <c r="L251" i="1"/>
  <c r="M251" i="1" s="1"/>
  <c r="F251" i="1"/>
  <c r="L250" i="1"/>
  <c r="M250" i="1" s="1"/>
  <c r="I250" i="1"/>
  <c r="F250" i="1"/>
  <c r="G250" i="1" s="1"/>
  <c r="L249" i="1"/>
  <c r="M249" i="1" s="1"/>
  <c r="I249" i="1"/>
  <c r="F249" i="1"/>
  <c r="L248" i="1"/>
  <c r="M248" i="1" s="1"/>
  <c r="I248" i="1"/>
  <c r="F248" i="1"/>
  <c r="G248" i="1" s="1"/>
  <c r="L247" i="1"/>
  <c r="M247" i="1" s="1"/>
  <c r="I247" i="1"/>
  <c r="F247" i="1"/>
  <c r="G247" i="1" s="1"/>
  <c r="L246" i="1"/>
  <c r="M246" i="1" s="1"/>
  <c r="I246" i="1"/>
  <c r="F246" i="1"/>
  <c r="G246" i="1" s="1"/>
  <c r="L245" i="1"/>
  <c r="M245" i="1" s="1"/>
  <c r="I245" i="1"/>
  <c r="F245" i="1"/>
  <c r="G245" i="1" s="1"/>
  <c r="L244" i="1"/>
  <c r="M244" i="1" s="1"/>
  <c r="I244" i="1"/>
  <c r="F244" i="1"/>
  <c r="G244" i="1" s="1"/>
  <c r="L243" i="1"/>
  <c r="M243" i="1" s="1"/>
  <c r="I243" i="1"/>
  <c r="F243" i="1"/>
  <c r="G243" i="1" s="1"/>
  <c r="L242" i="1"/>
  <c r="M242" i="1" s="1"/>
  <c r="I242" i="1"/>
  <c r="F242" i="1"/>
  <c r="G242" i="1" s="1"/>
  <c r="L241" i="1"/>
  <c r="M241" i="1" s="1"/>
  <c r="I241" i="1"/>
  <c r="F241" i="1"/>
  <c r="G241" i="1" s="1"/>
  <c r="L240" i="1"/>
  <c r="M240" i="1" s="1"/>
  <c r="I240" i="1"/>
  <c r="F240" i="1"/>
  <c r="G240" i="1" s="1"/>
  <c r="L239" i="1"/>
  <c r="M239" i="1" s="1"/>
  <c r="I239" i="1"/>
  <c r="F239" i="1"/>
  <c r="G239" i="1" s="1"/>
  <c r="L238" i="1"/>
  <c r="M238" i="1" s="1"/>
  <c r="I238" i="1"/>
  <c r="F238" i="1"/>
  <c r="G238" i="1" s="1"/>
  <c r="L237" i="1"/>
  <c r="M237" i="1" s="1"/>
  <c r="I237" i="1"/>
  <c r="F237" i="1"/>
  <c r="G237" i="1" s="1"/>
  <c r="L236" i="1"/>
  <c r="M236" i="1" s="1"/>
  <c r="I236" i="1"/>
  <c r="F236" i="1"/>
  <c r="G236" i="1" s="1"/>
  <c r="L235" i="1"/>
  <c r="M235" i="1" s="1"/>
  <c r="I235" i="1"/>
  <c r="F235" i="1"/>
  <c r="G235" i="1" s="1"/>
  <c r="L234" i="1"/>
  <c r="M234" i="1" s="1"/>
  <c r="I234" i="1"/>
  <c r="F234" i="1"/>
  <c r="G234" i="1" s="1"/>
  <c r="L233" i="1"/>
  <c r="M233" i="1" s="1"/>
  <c r="I233" i="1"/>
  <c r="F233" i="1"/>
  <c r="G233" i="1" s="1"/>
  <c r="L232" i="1"/>
  <c r="M232" i="1" s="1"/>
  <c r="I232" i="1"/>
  <c r="F232" i="1"/>
  <c r="G232" i="1" s="1"/>
  <c r="L231" i="1"/>
  <c r="M231" i="1" s="1"/>
  <c r="I231" i="1"/>
  <c r="F231" i="1"/>
  <c r="G231" i="1" s="1"/>
  <c r="L230" i="1"/>
  <c r="M230" i="1" s="1"/>
  <c r="I230" i="1"/>
  <c r="F230" i="1"/>
  <c r="G230" i="1" s="1"/>
  <c r="L229" i="1"/>
  <c r="M229" i="1" s="1"/>
  <c r="I229" i="1"/>
  <c r="F229" i="1"/>
  <c r="G229" i="1" s="1"/>
  <c r="L228" i="1"/>
  <c r="M228" i="1" s="1"/>
  <c r="I228" i="1"/>
  <c r="F228" i="1"/>
  <c r="G228" i="1" s="1"/>
  <c r="L227" i="1"/>
  <c r="M227" i="1" s="1"/>
  <c r="I227" i="1"/>
  <c r="F227" i="1"/>
  <c r="G227" i="1" s="1"/>
  <c r="L226" i="1"/>
  <c r="M226" i="1" s="1"/>
  <c r="I226" i="1"/>
  <c r="F226" i="1"/>
  <c r="G226" i="1" s="1"/>
  <c r="L225" i="1"/>
  <c r="M225" i="1" s="1"/>
  <c r="I225" i="1"/>
  <c r="F225" i="1"/>
  <c r="G225" i="1" s="1"/>
  <c r="L224" i="1"/>
  <c r="M224" i="1" s="1"/>
  <c r="I224" i="1"/>
  <c r="F224" i="1"/>
  <c r="G224" i="1" s="1"/>
  <c r="L223" i="1"/>
  <c r="M223" i="1" s="1"/>
  <c r="I223" i="1"/>
  <c r="F223" i="1"/>
  <c r="G223" i="1" s="1"/>
  <c r="L222" i="1"/>
  <c r="M222" i="1" s="1"/>
  <c r="F222" i="1"/>
  <c r="L221" i="1"/>
  <c r="M221" i="1" s="1"/>
  <c r="I221" i="1"/>
  <c r="F221" i="1"/>
  <c r="G221" i="1" s="1"/>
  <c r="L220" i="1"/>
  <c r="M220" i="1" s="1"/>
  <c r="I220" i="1"/>
  <c r="F220" i="1"/>
  <c r="G220" i="1" s="1"/>
  <c r="L219" i="1"/>
  <c r="M219" i="1" s="1"/>
  <c r="I219" i="1"/>
  <c r="F219" i="1"/>
  <c r="G219" i="1" s="1"/>
  <c r="L218" i="1"/>
  <c r="M218" i="1" s="1"/>
  <c r="I218" i="1"/>
  <c r="F218" i="1"/>
  <c r="G218" i="1" s="1"/>
  <c r="L217" i="1"/>
  <c r="M217" i="1" s="1"/>
  <c r="J217" i="1"/>
  <c r="K217" i="1" s="1"/>
  <c r="L216" i="1"/>
  <c r="M216" i="1" s="1"/>
  <c r="I216" i="1"/>
  <c r="F216" i="1"/>
  <c r="G216" i="1" s="1"/>
  <c r="L215" i="1"/>
  <c r="M215" i="1" s="1"/>
  <c r="I215" i="1"/>
  <c r="F215" i="1"/>
  <c r="G215" i="1" s="1"/>
  <c r="L214" i="1"/>
  <c r="M214" i="1" s="1"/>
  <c r="I214" i="1"/>
  <c r="F214" i="1"/>
  <c r="G214" i="1" s="1"/>
  <c r="L213" i="1"/>
  <c r="M213" i="1" s="1"/>
  <c r="F213" i="1"/>
  <c r="L212" i="1"/>
  <c r="M212" i="1" s="1"/>
  <c r="I212" i="1"/>
  <c r="F212" i="1"/>
  <c r="G212" i="1" s="1"/>
  <c r="L211" i="1"/>
  <c r="M211" i="1" s="1"/>
  <c r="I211" i="1"/>
  <c r="F211" i="1"/>
  <c r="G211" i="1" s="1"/>
  <c r="L210" i="1"/>
  <c r="M210" i="1" s="1"/>
  <c r="I210" i="1"/>
  <c r="F210" i="1"/>
  <c r="G210" i="1" s="1"/>
  <c r="L209" i="1"/>
  <c r="M209" i="1" s="1"/>
  <c r="I209" i="1"/>
  <c r="F209" i="1"/>
  <c r="G209" i="1" s="1"/>
  <c r="L208" i="1"/>
  <c r="M208" i="1" s="1"/>
  <c r="I208" i="1"/>
  <c r="F208" i="1"/>
  <c r="G208" i="1" s="1"/>
  <c r="L207" i="1"/>
  <c r="M207" i="1" s="1"/>
  <c r="I207" i="1"/>
  <c r="F207" i="1"/>
  <c r="G207" i="1" s="1"/>
  <c r="L206" i="1"/>
  <c r="M206" i="1" s="1"/>
  <c r="I206" i="1"/>
  <c r="F206" i="1"/>
  <c r="G206" i="1" s="1"/>
  <c r="L205" i="1"/>
  <c r="M205" i="1" s="1"/>
  <c r="I205" i="1"/>
  <c r="F205" i="1"/>
  <c r="G205" i="1" s="1"/>
  <c r="L204" i="1"/>
  <c r="M204" i="1" s="1"/>
  <c r="F204" i="1"/>
  <c r="L203" i="1"/>
  <c r="M203" i="1" s="1"/>
  <c r="I203" i="1"/>
  <c r="F203" i="1"/>
  <c r="G203" i="1" s="1"/>
  <c r="L202" i="1"/>
  <c r="M202" i="1" s="1"/>
  <c r="I202" i="1"/>
  <c r="F202" i="1"/>
  <c r="G202" i="1" s="1"/>
  <c r="L201" i="1"/>
  <c r="M201" i="1" s="1"/>
  <c r="I201" i="1"/>
  <c r="F201" i="1"/>
  <c r="G201" i="1" s="1"/>
  <c r="L200" i="1"/>
  <c r="M200" i="1" s="1"/>
  <c r="I200" i="1"/>
  <c r="F200" i="1"/>
  <c r="G200" i="1" s="1"/>
  <c r="L199" i="1"/>
  <c r="M199" i="1" s="1"/>
  <c r="I199" i="1"/>
  <c r="F199" i="1"/>
  <c r="G199" i="1" s="1"/>
  <c r="L198" i="1"/>
  <c r="M198" i="1" s="1"/>
  <c r="I198" i="1"/>
  <c r="F198" i="1"/>
  <c r="G198" i="1" s="1"/>
  <c r="L197" i="1"/>
  <c r="M197" i="1" s="1"/>
  <c r="I197" i="1"/>
  <c r="F197" i="1"/>
  <c r="L196" i="1"/>
  <c r="M196" i="1" s="1"/>
  <c r="I196" i="1"/>
  <c r="F196" i="1"/>
  <c r="G196" i="1" s="1"/>
  <c r="L195" i="1"/>
  <c r="M195" i="1" s="1"/>
  <c r="I195" i="1"/>
  <c r="F195" i="1"/>
  <c r="G195" i="1" s="1"/>
  <c r="L194" i="1"/>
  <c r="M194" i="1" s="1"/>
  <c r="I194" i="1"/>
  <c r="F194" i="1"/>
  <c r="G194" i="1" s="1"/>
  <c r="L193" i="1"/>
  <c r="M193" i="1" s="1"/>
  <c r="I193" i="1"/>
  <c r="F193" i="1"/>
  <c r="G193" i="1" s="1"/>
  <c r="L192" i="1"/>
  <c r="M192" i="1" s="1"/>
  <c r="I192" i="1"/>
  <c r="F192" i="1"/>
  <c r="G192" i="1" s="1"/>
  <c r="L191" i="1"/>
  <c r="M191" i="1" s="1"/>
  <c r="I191" i="1"/>
  <c r="F191" i="1"/>
  <c r="G191" i="1" s="1"/>
  <c r="L190" i="1"/>
  <c r="M190" i="1" s="1"/>
  <c r="I190" i="1"/>
  <c r="F190" i="1"/>
  <c r="G190" i="1" s="1"/>
  <c r="L189" i="1"/>
  <c r="M189" i="1" s="1"/>
  <c r="I189" i="1"/>
  <c r="F189" i="1"/>
  <c r="L188" i="1"/>
  <c r="M188" i="1" s="1"/>
  <c r="I188" i="1"/>
  <c r="F188" i="1"/>
  <c r="G188" i="1" s="1"/>
  <c r="L187" i="1"/>
  <c r="M187" i="1" s="1"/>
  <c r="I187" i="1"/>
  <c r="F187" i="1"/>
  <c r="G187" i="1" s="1"/>
  <c r="L186" i="1"/>
  <c r="M186" i="1" s="1"/>
  <c r="I186" i="1"/>
  <c r="J186" i="1" s="1"/>
  <c r="K186" i="1" s="1"/>
  <c r="L185" i="1"/>
  <c r="M185" i="1" s="1"/>
  <c r="I185" i="1"/>
  <c r="F185" i="1"/>
  <c r="G185" i="1" s="1"/>
  <c r="L184" i="1"/>
  <c r="M184" i="1" s="1"/>
  <c r="I184" i="1"/>
  <c r="F184" i="1"/>
  <c r="G184" i="1" s="1"/>
  <c r="L183" i="1"/>
  <c r="M183" i="1" s="1"/>
  <c r="I183" i="1"/>
  <c r="F183" i="1"/>
  <c r="G183" i="1" s="1"/>
  <c r="L182" i="1"/>
  <c r="M182" i="1" s="1"/>
  <c r="I182" i="1"/>
  <c r="F182" i="1"/>
  <c r="G182" i="1" s="1"/>
  <c r="L181" i="1"/>
  <c r="M181" i="1" s="1"/>
  <c r="I181" i="1"/>
  <c r="F181" i="1"/>
  <c r="G181" i="1" s="1"/>
  <c r="L180" i="1"/>
  <c r="M180" i="1" s="1"/>
  <c r="I180" i="1"/>
  <c r="F180" i="1"/>
  <c r="G180" i="1" s="1"/>
  <c r="L179" i="1"/>
  <c r="M179" i="1" s="1"/>
  <c r="I179" i="1"/>
  <c r="F179" i="1"/>
  <c r="G179" i="1" s="1"/>
  <c r="L178" i="1"/>
  <c r="M178" i="1" s="1"/>
  <c r="I178" i="1"/>
  <c r="F178" i="1"/>
  <c r="L177" i="1"/>
  <c r="M177" i="1" s="1"/>
  <c r="I177" i="1"/>
  <c r="F177" i="1"/>
  <c r="G177" i="1" s="1"/>
  <c r="L176" i="1"/>
  <c r="M176" i="1" s="1"/>
  <c r="I176" i="1"/>
  <c r="F176" i="1"/>
  <c r="G176" i="1" s="1"/>
  <c r="L175" i="1"/>
  <c r="M175" i="1" s="1"/>
  <c r="I175" i="1"/>
  <c r="F175" i="1"/>
  <c r="G175" i="1" s="1"/>
  <c r="L174" i="1"/>
  <c r="M174" i="1" s="1"/>
  <c r="I174" i="1"/>
  <c r="F174" i="1"/>
  <c r="G174" i="1" s="1"/>
  <c r="L173" i="1"/>
  <c r="M173" i="1" s="1"/>
  <c r="I173" i="1"/>
  <c r="F173" i="1"/>
  <c r="G173" i="1" s="1"/>
  <c r="L172" i="1"/>
  <c r="M172" i="1" s="1"/>
  <c r="I172" i="1"/>
  <c r="F172" i="1"/>
  <c r="G172" i="1" s="1"/>
  <c r="L171" i="1"/>
  <c r="M171" i="1" s="1"/>
  <c r="I171" i="1"/>
  <c r="F171" i="1"/>
  <c r="G171" i="1" s="1"/>
  <c r="L170" i="1"/>
  <c r="M170" i="1" s="1"/>
  <c r="I170" i="1"/>
  <c r="F170" i="1"/>
  <c r="L169" i="1"/>
  <c r="M169" i="1" s="1"/>
  <c r="I169" i="1"/>
  <c r="F169" i="1"/>
  <c r="G169" i="1" s="1"/>
  <c r="L168" i="1"/>
  <c r="M168" i="1" s="1"/>
  <c r="I168" i="1"/>
  <c r="F168" i="1"/>
  <c r="G168" i="1" s="1"/>
  <c r="L167" i="1"/>
  <c r="M167" i="1" s="1"/>
  <c r="I167" i="1"/>
  <c r="F167" i="1"/>
  <c r="G167" i="1" s="1"/>
  <c r="L166" i="1"/>
  <c r="M166" i="1" s="1"/>
  <c r="I166" i="1"/>
  <c r="F166" i="1"/>
  <c r="G166" i="1" s="1"/>
  <c r="L165" i="1"/>
  <c r="M165" i="1" s="1"/>
  <c r="I165" i="1"/>
  <c r="F165" i="1"/>
  <c r="G165" i="1" s="1"/>
  <c r="L164" i="1"/>
  <c r="M164" i="1" s="1"/>
  <c r="I164" i="1"/>
  <c r="F164" i="1"/>
  <c r="G164" i="1" s="1"/>
  <c r="L163" i="1"/>
  <c r="M163" i="1" s="1"/>
  <c r="I163" i="1"/>
  <c r="F163" i="1"/>
  <c r="G163" i="1" s="1"/>
  <c r="L162" i="1"/>
  <c r="M162" i="1" s="1"/>
  <c r="I162" i="1"/>
  <c r="F162" i="1"/>
  <c r="L161" i="1"/>
  <c r="M161" i="1" s="1"/>
  <c r="I161" i="1"/>
  <c r="F161" i="1"/>
  <c r="G161" i="1" s="1"/>
  <c r="L160" i="1"/>
  <c r="M160" i="1" s="1"/>
  <c r="I160" i="1"/>
  <c r="F160" i="1"/>
  <c r="G160" i="1" s="1"/>
  <c r="L159" i="1"/>
  <c r="M159" i="1" s="1"/>
  <c r="I159" i="1"/>
  <c r="F159" i="1"/>
  <c r="G159" i="1" s="1"/>
  <c r="L158" i="1"/>
  <c r="M158" i="1" s="1"/>
  <c r="I158" i="1"/>
  <c r="F158" i="1"/>
  <c r="G158" i="1" s="1"/>
  <c r="L157" i="1"/>
  <c r="M157" i="1" s="1"/>
  <c r="I157" i="1"/>
  <c r="J157" i="1" s="1"/>
  <c r="K157" i="1" s="1"/>
  <c r="L156" i="1"/>
  <c r="M156" i="1" s="1"/>
  <c r="I156" i="1"/>
  <c r="F156" i="1"/>
  <c r="G156" i="1" s="1"/>
  <c r="L155" i="1"/>
  <c r="M155" i="1" s="1"/>
  <c r="I155" i="1"/>
  <c r="F155" i="1"/>
  <c r="G155" i="1" s="1"/>
  <c r="L154" i="1"/>
  <c r="M154" i="1" s="1"/>
  <c r="I154" i="1"/>
  <c r="F154" i="1"/>
  <c r="G154" i="1" s="1"/>
  <c r="L153" i="1"/>
  <c r="M153" i="1" s="1"/>
  <c r="I153" i="1"/>
  <c r="F153" i="1"/>
  <c r="G153" i="1" s="1"/>
  <c r="L152" i="1"/>
  <c r="M152" i="1" s="1"/>
  <c r="I152" i="1"/>
  <c r="F152" i="1"/>
  <c r="G152" i="1" s="1"/>
  <c r="L151" i="1"/>
  <c r="M151" i="1" s="1"/>
  <c r="I151" i="1"/>
  <c r="F151" i="1"/>
  <c r="L150" i="1"/>
  <c r="M150" i="1" s="1"/>
  <c r="I150" i="1"/>
  <c r="F150" i="1"/>
  <c r="G150" i="1" s="1"/>
  <c r="L149" i="1"/>
  <c r="M149" i="1" s="1"/>
  <c r="I149" i="1"/>
  <c r="F149" i="1"/>
  <c r="G149" i="1" s="1"/>
  <c r="L148" i="1"/>
  <c r="M148" i="1" s="1"/>
  <c r="I148" i="1"/>
  <c r="F148" i="1"/>
  <c r="G148" i="1" s="1"/>
  <c r="L147" i="1"/>
  <c r="M147" i="1" s="1"/>
  <c r="I147" i="1"/>
  <c r="F147" i="1"/>
  <c r="G147" i="1" s="1"/>
  <c r="L146" i="1"/>
  <c r="M146" i="1" s="1"/>
  <c r="I146" i="1"/>
  <c r="F146" i="1"/>
  <c r="G146" i="1" s="1"/>
  <c r="L145" i="1"/>
  <c r="M145" i="1" s="1"/>
  <c r="I145" i="1"/>
  <c r="F145" i="1"/>
  <c r="G145" i="1" s="1"/>
  <c r="L144" i="1"/>
  <c r="M144" i="1" s="1"/>
  <c r="I144" i="1"/>
  <c r="F144" i="1"/>
  <c r="G144" i="1" s="1"/>
  <c r="L143" i="1"/>
  <c r="M143" i="1" s="1"/>
  <c r="I143" i="1"/>
  <c r="F143" i="1"/>
  <c r="G143" i="1" s="1"/>
  <c r="L142" i="1"/>
  <c r="M142" i="1" s="1"/>
  <c r="I142" i="1"/>
  <c r="F142" i="1"/>
  <c r="G142" i="1" s="1"/>
  <c r="L141" i="1"/>
  <c r="M141" i="1" s="1"/>
  <c r="I141" i="1"/>
  <c r="F141" i="1"/>
  <c r="G141" i="1" s="1"/>
  <c r="L140" i="1"/>
  <c r="M140" i="1" s="1"/>
  <c r="J140" i="1"/>
  <c r="K140" i="1" s="1"/>
  <c r="L139" i="1"/>
  <c r="M139" i="1" s="1"/>
  <c r="I139" i="1"/>
  <c r="F139" i="1"/>
  <c r="G139" i="1" s="1"/>
  <c r="L138" i="1"/>
  <c r="M138" i="1" s="1"/>
  <c r="I138" i="1"/>
  <c r="F138" i="1"/>
  <c r="G138" i="1" s="1"/>
  <c r="L137" i="1"/>
  <c r="M137" i="1" s="1"/>
  <c r="I137" i="1"/>
  <c r="F137" i="1"/>
  <c r="G137" i="1" s="1"/>
  <c r="L136" i="1"/>
  <c r="M136" i="1" s="1"/>
  <c r="I136" i="1"/>
  <c r="F136" i="1"/>
  <c r="G136" i="1" s="1"/>
  <c r="L135" i="1"/>
  <c r="M135" i="1" s="1"/>
  <c r="I135" i="1"/>
  <c r="F135" i="1"/>
  <c r="G135" i="1" s="1"/>
  <c r="L134" i="1"/>
  <c r="M134" i="1" s="1"/>
  <c r="I134" i="1"/>
  <c r="F134" i="1"/>
  <c r="G134" i="1" s="1"/>
  <c r="L133" i="1"/>
  <c r="M133" i="1" s="1"/>
  <c r="I133" i="1"/>
  <c r="F133" i="1"/>
  <c r="G133" i="1" s="1"/>
  <c r="L132" i="1"/>
  <c r="M132" i="1" s="1"/>
  <c r="I132" i="1"/>
  <c r="F132" i="1"/>
  <c r="L131" i="1"/>
  <c r="M131" i="1" s="1"/>
  <c r="I131" i="1"/>
  <c r="F131" i="1"/>
  <c r="G131" i="1" s="1"/>
  <c r="L130" i="1"/>
  <c r="M130" i="1" s="1"/>
  <c r="I130" i="1"/>
  <c r="F130" i="1"/>
  <c r="G130" i="1" s="1"/>
  <c r="L129" i="1"/>
  <c r="M129" i="1" s="1"/>
  <c r="I129" i="1"/>
  <c r="F129" i="1"/>
  <c r="G129" i="1" s="1"/>
  <c r="L128" i="1"/>
  <c r="M128" i="1" s="1"/>
  <c r="I128" i="1"/>
  <c r="F128" i="1"/>
  <c r="G128" i="1" s="1"/>
  <c r="L127" i="1"/>
  <c r="M127" i="1" s="1"/>
  <c r="I127" i="1"/>
  <c r="F127" i="1"/>
  <c r="G127" i="1" s="1"/>
  <c r="L126" i="1"/>
  <c r="M126" i="1" s="1"/>
  <c r="I126" i="1"/>
  <c r="F126" i="1"/>
  <c r="G126" i="1" s="1"/>
  <c r="L125" i="1"/>
  <c r="M125" i="1" s="1"/>
  <c r="I125" i="1"/>
  <c r="F125" i="1"/>
  <c r="G125" i="1" s="1"/>
  <c r="L124" i="1"/>
  <c r="M124" i="1" s="1"/>
  <c r="I124" i="1"/>
  <c r="F124" i="1"/>
  <c r="L123" i="1"/>
  <c r="M123" i="1" s="1"/>
  <c r="I123" i="1"/>
  <c r="F123" i="1"/>
  <c r="G123" i="1" s="1"/>
  <c r="L122" i="1"/>
  <c r="M122" i="1" s="1"/>
  <c r="I122" i="1"/>
  <c r="F122" i="1"/>
  <c r="G122" i="1" s="1"/>
  <c r="L121" i="1"/>
  <c r="M121" i="1" s="1"/>
  <c r="I121" i="1"/>
  <c r="F121" i="1"/>
  <c r="G121" i="1" s="1"/>
  <c r="L120" i="1"/>
  <c r="M120" i="1" s="1"/>
  <c r="I120" i="1"/>
  <c r="F120" i="1"/>
  <c r="G120" i="1" s="1"/>
  <c r="L119" i="1"/>
  <c r="M119" i="1" s="1"/>
  <c r="J119" i="1"/>
  <c r="K119" i="1" s="1"/>
  <c r="L118" i="1"/>
  <c r="M118" i="1" s="1"/>
  <c r="F118" i="1"/>
  <c r="L117" i="1"/>
  <c r="M117" i="1" s="1"/>
  <c r="I117" i="1"/>
  <c r="F117" i="1"/>
  <c r="G117" i="1" s="1"/>
  <c r="L116" i="1"/>
  <c r="M116" i="1" s="1"/>
  <c r="I116" i="1"/>
  <c r="F116" i="1"/>
  <c r="G116" i="1" s="1"/>
  <c r="L115" i="1"/>
  <c r="M115" i="1" s="1"/>
  <c r="I115" i="1"/>
  <c r="F115" i="1"/>
  <c r="G115" i="1" s="1"/>
  <c r="L114" i="1"/>
  <c r="M114" i="1" s="1"/>
  <c r="I114" i="1"/>
  <c r="F114" i="1"/>
  <c r="G114" i="1" s="1"/>
  <c r="L113" i="1"/>
  <c r="M113" i="1" s="1"/>
  <c r="I113" i="1"/>
  <c r="F113" i="1"/>
  <c r="G113" i="1" s="1"/>
  <c r="L112" i="1"/>
  <c r="M112" i="1" s="1"/>
  <c r="I112" i="1"/>
  <c r="F112" i="1"/>
  <c r="G112" i="1" s="1"/>
  <c r="L111" i="1"/>
  <c r="M111" i="1" s="1"/>
  <c r="I111" i="1"/>
  <c r="F111" i="1"/>
  <c r="G111" i="1" s="1"/>
  <c r="L110" i="1"/>
  <c r="M110" i="1" s="1"/>
  <c r="I110" i="1"/>
  <c r="F110" i="1"/>
  <c r="G110" i="1" s="1"/>
  <c r="L109" i="1"/>
  <c r="M109" i="1" s="1"/>
  <c r="I109" i="1"/>
  <c r="F109" i="1"/>
  <c r="G109" i="1" s="1"/>
  <c r="L108" i="1"/>
  <c r="M108" i="1" s="1"/>
  <c r="I108" i="1"/>
  <c r="F108" i="1"/>
  <c r="G108" i="1" s="1"/>
  <c r="L107" i="1"/>
  <c r="M107" i="1" s="1"/>
  <c r="I107" i="1"/>
  <c r="F107" i="1"/>
  <c r="G107" i="1" s="1"/>
  <c r="L106" i="1"/>
  <c r="M106" i="1" s="1"/>
  <c r="I106" i="1"/>
  <c r="F106" i="1"/>
  <c r="G106" i="1" s="1"/>
  <c r="L105" i="1"/>
  <c r="M105" i="1" s="1"/>
  <c r="I105" i="1"/>
  <c r="F105" i="1"/>
  <c r="G105" i="1" s="1"/>
  <c r="L104" i="1"/>
  <c r="M104" i="1" s="1"/>
  <c r="I104" i="1"/>
  <c r="F104" i="1"/>
  <c r="G104" i="1" s="1"/>
  <c r="L103" i="1"/>
  <c r="M103" i="1" s="1"/>
  <c r="I103" i="1"/>
  <c r="F103" i="1"/>
  <c r="G103" i="1" s="1"/>
  <c r="L102" i="1"/>
  <c r="M102" i="1" s="1"/>
  <c r="I102" i="1"/>
  <c r="F102" i="1"/>
  <c r="G102" i="1" s="1"/>
  <c r="L101" i="1"/>
  <c r="M101" i="1" s="1"/>
  <c r="I101" i="1"/>
  <c r="F101" i="1"/>
  <c r="G101" i="1" s="1"/>
  <c r="L100" i="1"/>
  <c r="M100" i="1" s="1"/>
  <c r="I100" i="1"/>
  <c r="F100" i="1"/>
  <c r="G100" i="1" s="1"/>
  <c r="L99" i="1"/>
  <c r="M99" i="1" s="1"/>
  <c r="I99" i="1"/>
  <c r="F99" i="1"/>
  <c r="G99" i="1" s="1"/>
  <c r="L98" i="1"/>
  <c r="M98" i="1" s="1"/>
  <c r="I98" i="1"/>
  <c r="F98" i="1"/>
  <c r="G98" i="1" s="1"/>
  <c r="L97" i="1"/>
  <c r="M97" i="1" s="1"/>
  <c r="I97" i="1"/>
  <c r="F97" i="1"/>
  <c r="G97" i="1" s="1"/>
  <c r="L96" i="1"/>
  <c r="M96" i="1" s="1"/>
  <c r="I96" i="1"/>
  <c r="F96" i="1"/>
  <c r="G96" i="1" s="1"/>
  <c r="L95" i="1"/>
  <c r="M95" i="1" s="1"/>
  <c r="I95" i="1"/>
  <c r="F95" i="1"/>
  <c r="G95" i="1" s="1"/>
  <c r="L94" i="1"/>
  <c r="M94" i="1" s="1"/>
  <c r="I94" i="1"/>
  <c r="F94" i="1"/>
  <c r="G94" i="1" s="1"/>
  <c r="L93" i="1"/>
  <c r="M93" i="1" s="1"/>
  <c r="J93" i="1"/>
  <c r="K93" i="1" s="1"/>
  <c r="L92" i="1"/>
  <c r="M92" i="1" s="1"/>
  <c r="I92" i="1"/>
  <c r="F92" i="1"/>
  <c r="G92" i="1" s="1"/>
  <c r="L91" i="1"/>
  <c r="M91" i="1" s="1"/>
  <c r="I91" i="1"/>
  <c r="F91" i="1"/>
  <c r="G91" i="1" s="1"/>
  <c r="L90" i="1"/>
  <c r="M90" i="1" s="1"/>
  <c r="I90" i="1"/>
  <c r="F90" i="1"/>
  <c r="G90" i="1" s="1"/>
  <c r="L89" i="1"/>
  <c r="M89" i="1" s="1"/>
  <c r="I89" i="1"/>
  <c r="F89" i="1"/>
  <c r="G89" i="1" s="1"/>
  <c r="L88" i="1"/>
  <c r="M88" i="1" s="1"/>
  <c r="I88" i="1"/>
  <c r="F88" i="1"/>
  <c r="G88" i="1" s="1"/>
  <c r="L87" i="1"/>
  <c r="M87" i="1" s="1"/>
  <c r="I87" i="1"/>
  <c r="F87" i="1"/>
  <c r="G87" i="1" s="1"/>
  <c r="L86" i="1"/>
  <c r="M86" i="1" s="1"/>
  <c r="I86" i="1"/>
  <c r="F86" i="1"/>
  <c r="G86" i="1" s="1"/>
  <c r="L85" i="1"/>
  <c r="M85" i="1" s="1"/>
  <c r="I85" i="1"/>
  <c r="F85" i="1"/>
  <c r="G85" i="1" s="1"/>
  <c r="L84" i="1"/>
  <c r="M84" i="1" s="1"/>
  <c r="I84" i="1"/>
  <c r="F84" i="1"/>
  <c r="G84" i="1" s="1"/>
  <c r="L83" i="1"/>
  <c r="M83" i="1" s="1"/>
  <c r="I83" i="1"/>
  <c r="F83" i="1"/>
  <c r="L82" i="1"/>
  <c r="M82" i="1" s="1"/>
  <c r="I82" i="1"/>
  <c r="F82" i="1"/>
  <c r="G82" i="1" s="1"/>
  <c r="L81" i="1"/>
  <c r="M81" i="1" s="1"/>
  <c r="I81" i="1"/>
  <c r="F81" i="1"/>
  <c r="G81" i="1" s="1"/>
  <c r="L80" i="1"/>
  <c r="M80" i="1" s="1"/>
  <c r="I80" i="1"/>
  <c r="F80" i="1"/>
  <c r="G80" i="1" s="1"/>
  <c r="L79" i="1"/>
  <c r="M79" i="1" s="1"/>
  <c r="I79" i="1"/>
  <c r="F79" i="1"/>
  <c r="G79" i="1" s="1"/>
  <c r="L78" i="1"/>
  <c r="M78" i="1" s="1"/>
  <c r="I78" i="1"/>
  <c r="F78" i="1"/>
  <c r="G78" i="1" s="1"/>
  <c r="L77" i="1"/>
  <c r="M77" i="1" s="1"/>
  <c r="I77" i="1"/>
  <c r="F77" i="1"/>
  <c r="G77" i="1" s="1"/>
  <c r="L76" i="1"/>
  <c r="M76" i="1" s="1"/>
  <c r="I76" i="1"/>
  <c r="F76" i="1"/>
  <c r="G76" i="1" s="1"/>
  <c r="L75" i="1"/>
  <c r="M75" i="1" s="1"/>
  <c r="I75" i="1"/>
  <c r="F75" i="1"/>
  <c r="L74" i="1"/>
  <c r="M74" i="1" s="1"/>
  <c r="I74" i="1"/>
  <c r="F74" i="1"/>
  <c r="G74" i="1" s="1"/>
  <c r="L73" i="1"/>
  <c r="M73" i="1" s="1"/>
  <c r="I73" i="1"/>
  <c r="F73" i="1"/>
  <c r="G73" i="1" s="1"/>
  <c r="L72" i="1"/>
  <c r="M72" i="1" s="1"/>
  <c r="F72" i="1"/>
  <c r="L71" i="1"/>
  <c r="M71" i="1" s="1"/>
  <c r="I71" i="1"/>
  <c r="F71" i="1"/>
  <c r="G71" i="1" s="1"/>
  <c r="L70" i="1"/>
  <c r="M70" i="1" s="1"/>
  <c r="I70" i="1"/>
  <c r="J70" i="1" s="1"/>
  <c r="K70" i="1" s="1"/>
  <c r="L69" i="1"/>
  <c r="M69" i="1" s="1"/>
  <c r="F69" i="1"/>
  <c r="L68" i="1"/>
  <c r="M68" i="1" s="1"/>
  <c r="I68" i="1"/>
  <c r="F68" i="1"/>
  <c r="G68" i="1" s="1"/>
  <c r="L67" i="1"/>
  <c r="M67" i="1" s="1"/>
  <c r="I67" i="1"/>
  <c r="F67" i="1"/>
  <c r="G67" i="1" s="1"/>
  <c r="L66" i="1"/>
  <c r="M66" i="1" s="1"/>
  <c r="I66" i="1"/>
  <c r="F66" i="1"/>
  <c r="G66" i="1" s="1"/>
  <c r="L65" i="1"/>
  <c r="M65" i="1" s="1"/>
  <c r="I65" i="1"/>
  <c r="F65" i="1"/>
  <c r="G65" i="1" s="1"/>
  <c r="L64" i="1"/>
  <c r="M64" i="1" s="1"/>
  <c r="I64" i="1"/>
  <c r="F64" i="1"/>
  <c r="G64" i="1" s="1"/>
  <c r="L63" i="1"/>
  <c r="M63" i="1" s="1"/>
  <c r="I63" i="1"/>
  <c r="F63" i="1"/>
  <c r="G63" i="1" s="1"/>
  <c r="L62" i="1"/>
  <c r="M62" i="1" s="1"/>
  <c r="I62" i="1"/>
  <c r="F62" i="1"/>
  <c r="G62" i="1" s="1"/>
  <c r="L61" i="1"/>
  <c r="M61" i="1" s="1"/>
  <c r="I61" i="1"/>
  <c r="F61" i="1"/>
  <c r="G61" i="1" s="1"/>
  <c r="L60" i="1"/>
  <c r="M60" i="1" s="1"/>
  <c r="I60" i="1"/>
  <c r="F60" i="1"/>
  <c r="G60" i="1" s="1"/>
  <c r="L59" i="1"/>
  <c r="M59" i="1" s="1"/>
  <c r="I59" i="1"/>
  <c r="F59" i="1"/>
  <c r="G59" i="1" s="1"/>
  <c r="L58" i="1"/>
  <c r="M58" i="1" s="1"/>
  <c r="I58" i="1"/>
  <c r="F58" i="1"/>
  <c r="G58" i="1" s="1"/>
  <c r="L57" i="1"/>
  <c r="M57" i="1" s="1"/>
  <c r="I57" i="1"/>
  <c r="F57" i="1"/>
  <c r="G57" i="1" s="1"/>
  <c r="L56" i="1"/>
  <c r="M56" i="1" s="1"/>
  <c r="I56" i="1"/>
  <c r="F56" i="1"/>
  <c r="G56" i="1" s="1"/>
  <c r="L55" i="1"/>
  <c r="M55" i="1" s="1"/>
  <c r="I55" i="1"/>
  <c r="F55" i="1"/>
  <c r="G55" i="1" s="1"/>
  <c r="L54" i="1"/>
  <c r="M54" i="1" s="1"/>
  <c r="I54" i="1"/>
  <c r="F54" i="1"/>
  <c r="G54" i="1" s="1"/>
  <c r="L53" i="1"/>
  <c r="M53" i="1" s="1"/>
  <c r="I53" i="1"/>
  <c r="F53" i="1"/>
  <c r="G53" i="1" s="1"/>
  <c r="L52" i="1"/>
  <c r="M52" i="1" s="1"/>
  <c r="I52" i="1"/>
  <c r="F52" i="1"/>
  <c r="G52" i="1" s="1"/>
  <c r="L51" i="1"/>
  <c r="M51" i="1" s="1"/>
  <c r="I51" i="1"/>
  <c r="F51" i="1"/>
  <c r="G51" i="1" s="1"/>
  <c r="L50" i="1"/>
  <c r="M50" i="1" s="1"/>
  <c r="I50" i="1"/>
  <c r="F50" i="1"/>
  <c r="L49" i="1"/>
  <c r="M49" i="1" s="1"/>
  <c r="I49" i="1"/>
  <c r="F49" i="1"/>
  <c r="G49" i="1" s="1"/>
  <c r="L48" i="1"/>
  <c r="M48" i="1" s="1"/>
  <c r="I48" i="1"/>
  <c r="F48" i="1"/>
  <c r="G48" i="1" s="1"/>
  <c r="L47" i="1"/>
  <c r="M47" i="1" s="1"/>
  <c r="I47" i="1"/>
  <c r="F47" i="1"/>
  <c r="G47" i="1" s="1"/>
  <c r="L46" i="1"/>
  <c r="M46" i="1" s="1"/>
  <c r="I46" i="1"/>
  <c r="F46" i="1"/>
  <c r="G46" i="1" s="1"/>
  <c r="L45" i="1"/>
  <c r="M45" i="1" s="1"/>
  <c r="I45" i="1"/>
  <c r="F45" i="1"/>
  <c r="G45" i="1" s="1"/>
  <c r="L44" i="1"/>
  <c r="M44" i="1" s="1"/>
  <c r="I44" i="1"/>
  <c r="F44" i="1"/>
  <c r="G44" i="1" s="1"/>
  <c r="L43" i="1"/>
  <c r="M43" i="1" s="1"/>
  <c r="I43" i="1"/>
  <c r="F43" i="1"/>
  <c r="G43" i="1" s="1"/>
  <c r="L42" i="1"/>
  <c r="M42" i="1" s="1"/>
  <c r="I42" i="1"/>
  <c r="F42" i="1"/>
  <c r="L41" i="1"/>
  <c r="M41" i="1" s="1"/>
  <c r="I41" i="1"/>
  <c r="J41" i="1" s="1"/>
  <c r="K41" i="1" s="1"/>
  <c r="L40" i="1"/>
  <c r="M40" i="1" s="1"/>
  <c r="I40" i="1"/>
  <c r="J40" i="1" s="1"/>
  <c r="K40" i="1" s="1"/>
  <c r="L39" i="1"/>
  <c r="M39" i="1" s="1"/>
  <c r="I39" i="1"/>
  <c r="J39" i="1" s="1"/>
  <c r="K39" i="1" s="1"/>
  <c r="L38" i="1"/>
  <c r="M38" i="1" s="1"/>
  <c r="I38" i="1"/>
  <c r="J38" i="1" s="1"/>
  <c r="K38" i="1" s="1"/>
  <c r="L37" i="1"/>
  <c r="M37" i="1" s="1"/>
  <c r="I37" i="1"/>
  <c r="J37" i="1" s="1"/>
  <c r="K37" i="1" s="1"/>
  <c r="L36" i="1"/>
  <c r="M36" i="1" s="1"/>
  <c r="I36" i="1"/>
  <c r="J36" i="1" s="1"/>
  <c r="K36" i="1" s="1"/>
  <c r="L35" i="1"/>
  <c r="M35" i="1" s="1"/>
  <c r="I35" i="1"/>
  <c r="J35" i="1" s="1"/>
  <c r="K35" i="1" s="1"/>
  <c r="L34" i="1"/>
  <c r="M34" i="1" s="1"/>
  <c r="I34" i="1"/>
  <c r="J34" i="1" s="1"/>
  <c r="K34" i="1" s="1"/>
  <c r="L33" i="1"/>
  <c r="M33" i="1" s="1"/>
  <c r="I33" i="1"/>
  <c r="J33" i="1" s="1"/>
  <c r="K33" i="1" s="1"/>
  <c r="L32" i="1"/>
  <c r="M32" i="1" s="1"/>
  <c r="I32" i="1"/>
  <c r="J32" i="1" s="1"/>
  <c r="K32" i="1" s="1"/>
  <c r="L31" i="1"/>
  <c r="M31" i="1" s="1"/>
  <c r="I31" i="1"/>
  <c r="J31" i="1" s="1"/>
  <c r="K31" i="1" s="1"/>
  <c r="L30" i="1"/>
  <c r="M30" i="1" s="1"/>
  <c r="I30" i="1"/>
  <c r="J30" i="1" s="1"/>
  <c r="K30" i="1" s="1"/>
  <c r="L29" i="1"/>
  <c r="M29" i="1" s="1"/>
  <c r="I29" i="1"/>
  <c r="J29" i="1" s="1"/>
  <c r="K29" i="1" s="1"/>
  <c r="L28" i="1"/>
  <c r="M28" i="1" s="1"/>
  <c r="I28" i="1"/>
  <c r="J28" i="1" s="1"/>
  <c r="K28" i="1" s="1"/>
  <c r="L27" i="1"/>
  <c r="M27" i="1" s="1"/>
  <c r="I27" i="1"/>
  <c r="J27" i="1" s="1"/>
  <c r="K27" i="1" s="1"/>
  <c r="L26" i="1"/>
  <c r="M26" i="1" s="1"/>
  <c r="I26" i="1"/>
  <c r="J26" i="1" s="1"/>
  <c r="K26" i="1" s="1"/>
  <c r="L25" i="1"/>
  <c r="M25" i="1" s="1"/>
  <c r="I25" i="1"/>
  <c r="J25" i="1" s="1"/>
  <c r="K25" i="1" s="1"/>
  <c r="L24" i="1"/>
  <c r="M24" i="1" s="1"/>
  <c r="I24" i="1"/>
  <c r="J24" i="1" s="1"/>
  <c r="K24" i="1" s="1"/>
  <c r="L23" i="1"/>
  <c r="M23" i="1" s="1"/>
  <c r="I23" i="1"/>
  <c r="J23" i="1" s="1"/>
  <c r="K23" i="1" s="1"/>
  <c r="L22" i="1"/>
  <c r="M22" i="1" s="1"/>
  <c r="I22" i="1"/>
  <c r="J22" i="1" s="1"/>
  <c r="K22" i="1" s="1"/>
  <c r="L21" i="1"/>
  <c r="M21" i="1" s="1"/>
  <c r="I21" i="1"/>
  <c r="F21" i="1"/>
  <c r="G21" i="1" s="1"/>
  <c r="L20" i="1"/>
  <c r="M20" i="1" s="1"/>
  <c r="I20" i="1"/>
  <c r="F20" i="1"/>
  <c r="G20" i="1" s="1"/>
  <c r="L19" i="1"/>
  <c r="M19" i="1" s="1"/>
  <c r="I19" i="1"/>
  <c r="F19" i="1"/>
  <c r="G19" i="1" s="1"/>
  <c r="L18" i="1"/>
  <c r="M18" i="1" s="1"/>
  <c r="I18" i="1"/>
  <c r="F18" i="1"/>
  <c r="G18" i="1" s="1"/>
  <c r="L17" i="1"/>
  <c r="M17" i="1" s="1"/>
  <c r="I17" i="1"/>
  <c r="F17" i="1"/>
  <c r="G17" i="1" s="1"/>
  <c r="L16" i="1"/>
  <c r="M16" i="1" s="1"/>
  <c r="I16" i="1"/>
  <c r="F16" i="1"/>
  <c r="G16" i="1" s="1"/>
  <c r="L15" i="1"/>
  <c r="M15" i="1" s="1"/>
  <c r="I15" i="1"/>
  <c r="F15" i="1"/>
  <c r="G15" i="1" s="1"/>
  <c r="L14" i="1"/>
  <c r="M14" i="1" s="1"/>
  <c r="I14" i="1"/>
  <c r="F14" i="1"/>
  <c r="G14" i="1" s="1"/>
  <c r="L13" i="1"/>
  <c r="M13" i="1" s="1"/>
  <c r="I13" i="1"/>
  <c r="F13" i="1"/>
  <c r="G13" i="1" s="1"/>
  <c r="L12" i="1"/>
  <c r="M12" i="1" s="1"/>
  <c r="I12" i="1"/>
  <c r="F12" i="1"/>
  <c r="G12" i="1" s="1"/>
  <c r="L11" i="1"/>
  <c r="M11" i="1" s="1"/>
  <c r="I11" i="1"/>
  <c r="F11" i="1"/>
  <c r="G11" i="1" s="1"/>
  <c r="L10" i="1"/>
  <c r="M10" i="1" s="1"/>
  <c r="I10" i="1"/>
  <c r="F10" i="1"/>
  <c r="G10" i="1" s="1"/>
  <c r="L9" i="1"/>
  <c r="M9" i="1" s="1"/>
  <c r="I9" i="1"/>
  <c r="F9" i="1"/>
  <c r="G9" i="1" s="1"/>
  <c r="L8" i="1"/>
  <c r="M8" i="1" s="1"/>
  <c r="I8" i="1"/>
  <c r="F8" i="1"/>
  <c r="G8" i="1" s="1"/>
  <c r="L7" i="1"/>
  <c r="M7" i="1" s="1"/>
  <c r="I7" i="1"/>
  <c r="F7" i="1"/>
  <c r="G7" i="1" s="1"/>
  <c r="L6" i="1"/>
  <c r="M6" i="1" s="1"/>
  <c r="I6" i="1"/>
  <c r="F6" i="1"/>
  <c r="G6" i="1" s="1"/>
  <c r="L5" i="1"/>
  <c r="M5" i="1" s="1"/>
  <c r="I5" i="1"/>
  <c r="F5" i="1"/>
  <c r="G5" i="1" s="1"/>
  <c r="L4" i="1"/>
  <c r="M4" i="1" s="1"/>
  <c r="I4" i="1"/>
  <c r="F4" i="1"/>
  <c r="G4" i="1" s="1"/>
  <c r="L3" i="1"/>
  <c r="M3" i="1" s="1"/>
  <c r="I3" i="1"/>
  <c r="F3" i="1"/>
  <c r="G3" i="1" s="1"/>
  <c r="L2" i="1"/>
  <c r="M2" i="1" s="1"/>
  <c r="I2" i="1"/>
  <c r="F2" i="1"/>
  <c r="G2" i="1" s="1"/>
  <c r="J461" i="1" l="1"/>
  <c r="K461" i="1" s="1"/>
  <c r="G461" i="1"/>
  <c r="J469" i="1"/>
  <c r="K469" i="1" s="1"/>
  <c r="G469" i="1"/>
  <c r="J477" i="1"/>
  <c r="K477" i="1" s="1"/>
  <c r="G477" i="1"/>
  <c r="J301" i="1"/>
  <c r="K301" i="1" s="1"/>
  <c r="G301" i="1"/>
  <c r="J359" i="1"/>
  <c r="K359" i="1" s="1"/>
  <c r="G359" i="1"/>
  <c r="J395" i="1"/>
  <c r="K395" i="1" s="1"/>
  <c r="G395" i="1"/>
  <c r="J407" i="1"/>
  <c r="K407" i="1" s="1"/>
  <c r="G407" i="1"/>
  <c r="J437" i="1"/>
  <c r="K437" i="1" s="1"/>
  <c r="G437" i="1"/>
  <c r="J498" i="1"/>
  <c r="K498" i="1" s="1"/>
  <c r="G498" i="1"/>
  <c r="J501" i="1"/>
  <c r="K501" i="1" s="1"/>
  <c r="G501" i="1"/>
  <c r="J462" i="1"/>
  <c r="K462" i="1" s="1"/>
  <c r="G462" i="1"/>
  <c r="J466" i="1"/>
  <c r="K466" i="1" s="1"/>
  <c r="G466" i="1"/>
  <c r="J470" i="1"/>
  <c r="K470" i="1" s="1"/>
  <c r="G470" i="1"/>
  <c r="J474" i="1"/>
  <c r="K474" i="1" s="1"/>
  <c r="G474" i="1"/>
  <c r="J478" i="1"/>
  <c r="K478" i="1" s="1"/>
  <c r="G478" i="1"/>
  <c r="J482" i="1"/>
  <c r="K482" i="1" s="1"/>
  <c r="G482" i="1"/>
  <c r="J465" i="1"/>
  <c r="K465" i="1" s="1"/>
  <c r="G465" i="1"/>
  <c r="J473" i="1"/>
  <c r="K473" i="1" s="1"/>
  <c r="G473" i="1"/>
  <c r="J481" i="1"/>
  <c r="K481" i="1" s="1"/>
  <c r="G481" i="1"/>
  <c r="J307" i="1"/>
  <c r="K307" i="1" s="1"/>
  <c r="G307" i="1"/>
  <c r="J446" i="1"/>
  <c r="K446" i="1" s="1"/>
  <c r="G446" i="1"/>
  <c r="J449" i="1"/>
  <c r="K449" i="1" s="1"/>
  <c r="G449" i="1"/>
  <c r="J455" i="1"/>
  <c r="K455" i="1" s="1"/>
  <c r="G455" i="1"/>
  <c r="J458" i="1"/>
  <c r="K458" i="1" s="1"/>
  <c r="G458" i="1"/>
  <c r="J490" i="1"/>
  <c r="K490" i="1" s="1"/>
  <c r="G490" i="1"/>
  <c r="J204" i="1"/>
  <c r="K204" i="1" s="1"/>
  <c r="G204" i="1"/>
  <c r="J351" i="1"/>
  <c r="K351" i="1" s="1"/>
  <c r="G351" i="1"/>
  <c r="J354" i="1"/>
  <c r="K354" i="1" s="1"/>
  <c r="G354" i="1"/>
  <c r="J360" i="1"/>
  <c r="K360" i="1" s="1"/>
  <c r="G360" i="1"/>
  <c r="J408" i="1"/>
  <c r="K408" i="1" s="1"/>
  <c r="G408" i="1"/>
  <c r="J471" i="1"/>
  <c r="K471" i="1" s="1"/>
  <c r="G471" i="1"/>
  <c r="J475" i="1"/>
  <c r="K475" i="1" s="1"/>
  <c r="G475" i="1"/>
  <c r="J479" i="1"/>
  <c r="K479" i="1" s="1"/>
  <c r="G479" i="1"/>
  <c r="J483" i="1"/>
  <c r="K483" i="1" s="1"/>
  <c r="G483" i="1"/>
  <c r="J491" i="1"/>
  <c r="K491" i="1" s="1"/>
  <c r="G491" i="1"/>
  <c r="J499" i="1"/>
  <c r="K499" i="1" s="1"/>
  <c r="G499" i="1"/>
  <c r="J423" i="1"/>
  <c r="K423" i="1" s="1"/>
  <c r="G423" i="1"/>
  <c r="J251" i="1"/>
  <c r="K251" i="1" s="1"/>
  <c r="G251" i="1"/>
  <c r="J390" i="1"/>
  <c r="K390" i="1" s="1"/>
  <c r="G390" i="1"/>
  <c r="J399" i="1"/>
  <c r="K399" i="1" s="1"/>
  <c r="G399" i="1"/>
  <c r="J435" i="1"/>
  <c r="K435" i="1" s="1"/>
  <c r="G435" i="1"/>
  <c r="J441" i="1"/>
  <c r="K441" i="1" s="1"/>
  <c r="G441" i="1"/>
  <c r="J453" i="1"/>
  <c r="K453" i="1" s="1"/>
  <c r="G453" i="1"/>
  <c r="J463" i="1"/>
  <c r="K463" i="1" s="1"/>
  <c r="G463" i="1"/>
  <c r="J467" i="1"/>
  <c r="K467" i="1" s="1"/>
  <c r="G467" i="1"/>
  <c r="J213" i="1"/>
  <c r="K213" i="1" s="1"/>
  <c r="G213" i="1"/>
  <c r="J292" i="1"/>
  <c r="K292" i="1" s="1"/>
  <c r="G292" i="1"/>
  <c r="J300" i="1"/>
  <c r="K300" i="1" s="1"/>
  <c r="G300" i="1"/>
  <c r="J303" i="1"/>
  <c r="K303" i="1" s="1"/>
  <c r="G303" i="1"/>
  <c r="J309" i="1"/>
  <c r="K309" i="1" s="1"/>
  <c r="G309" i="1"/>
  <c r="J317" i="1"/>
  <c r="K317" i="1" s="1"/>
  <c r="G317" i="1"/>
  <c r="J325" i="1"/>
  <c r="K325" i="1" s="1"/>
  <c r="G325" i="1"/>
  <c r="J333" i="1"/>
  <c r="K333" i="1" s="1"/>
  <c r="G333" i="1"/>
  <c r="J341" i="1"/>
  <c r="K341" i="1" s="1"/>
  <c r="G341" i="1"/>
  <c r="J349" i="1"/>
  <c r="K349" i="1" s="1"/>
  <c r="G349" i="1"/>
  <c r="J391" i="1"/>
  <c r="K391" i="1" s="1"/>
  <c r="G391" i="1"/>
  <c r="J400" i="1"/>
  <c r="K400" i="1" s="1"/>
  <c r="G400" i="1"/>
  <c r="J460" i="1"/>
  <c r="K460" i="1" s="1"/>
  <c r="G460" i="1"/>
  <c r="J464" i="1"/>
  <c r="K464" i="1" s="1"/>
  <c r="G464" i="1"/>
  <c r="J468" i="1"/>
  <c r="K468" i="1" s="1"/>
  <c r="G468" i="1"/>
  <c r="J472" i="1"/>
  <c r="K472" i="1" s="1"/>
  <c r="G472" i="1"/>
  <c r="J476" i="1"/>
  <c r="K476" i="1" s="1"/>
  <c r="G476" i="1"/>
  <c r="J480" i="1"/>
  <c r="K480" i="1" s="1"/>
  <c r="G480" i="1"/>
  <c r="J42" i="1"/>
  <c r="K42" i="1" s="1"/>
  <c r="G42" i="1"/>
  <c r="J50" i="1"/>
  <c r="K50" i="1" s="1"/>
  <c r="G50" i="1"/>
  <c r="J72" i="1"/>
  <c r="K72" i="1" s="1"/>
  <c r="G72" i="1"/>
  <c r="J75" i="1"/>
  <c r="K75" i="1" s="1"/>
  <c r="G75" i="1"/>
  <c r="J83" i="1"/>
  <c r="K83" i="1" s="1"/>
  <c r="G83" i="1"/>
  <c r="J118" i="1"/>
  <c r="K118" i="1" s="1"/>
  <c r="G118" i="1"/>
  <c r="J124" i="1"/>
  <c r="K124" i="1" s="1"/>
  <c r="G124" i="1"/>
  <c r="J132" i="1"/>
  <c r="K132" i="1" s="1"/>
  <c r="G132" i="1"/>
  <c r="J151" i="1"/>
  <c r="K151" i="1" s="1"/>
  <c r="G151" i="1"/>
  <c r="J162" i="1"/>
  <c r="K162" i="1" s="1"/>
  <c r="G162" i="1"/>
  <c r="J170" i="1"/>
  <c r="K170" i="1" s="1"/>
  <c r="G170" i="1"/>
  <c r="J178" i="1"/>
  <c r="K178" i="1" s="1"/>
  <c r="G178" i="1"/>
  <c r="J189" i="1"/>
  <c r="K189" i="1" s="1"/>
  <c r="G189" i="1"/>
  <c r="J197" i="1"/>
  <c r="K197" i="1" s="1"/>
  <c r="G197" i="1"/>
  <c r="J222" i="1"/>
  <c r="K222" i="1" s="1"/>
  <c r="G222" i="1"/>
  <c r="J249" i="1"/>
  <c r="K249" i="1" s="1"/>
  <c r="G249" i="1"/>
  <c r="J252" i="1"/>
  <c r="K252" i="1" s="1"/>
  <c r="G252" i="1"/>
  <c r="J260" i="1"/>
  <c r="K260" i="1" s="1"/>
  <c r="G260" i="1"/>
  <c r="J268" i="1"/>
  <c r="K268" i="1" s="1"/>
  <c r="G268" i="1"/>
  <c r="J276" i="1"/>
  <c r="K276" i="1" s="1"/>
  <c r="G276" i="1"/>
  <c r="J69" i="1"/>
  <c r="K69" i="1" s="1"/>
  <c r="G69" i="1"/>
  <c r="J306" i="1"/>
  <c r="K306" i="1" s="1"/>
  <c r="G306" i="1"/>
  <c r="J406" i="1"/>
  <c r="K406" i="1" s="1"/>
  <c r="G406" i="1"/>
  <c r="J419" i="1"/>
  <c r="K419" i="1" s="1"/>
  <c r="G419" i="1"/>
  <c r="J430" i="1"/>
  <c r="K430" i="1" s="1"/>
  <c r="G430" i="1"/>
  <c r="J442" i="1"/>
  <c r="K442" i="1" s="1"/>
  <c r="G442" i="1"/>
  <c r="J445" i="1"/>
  <c r="K445" i="1" s="1"/>
  <c r="G445" i="1"/>
  <c r="J114" i="1"/>
  <c r="K114" i="1" s="1"/>
  <c r="J147" i="1"/>
  <c r="K147" i="1" s="1"/>
  <c r="J155" i="1"/>
  <c r="K155" i="1" s="1"/>
  <c r="J158" i="1"/>
  <c r="K158" i="1" s="1"/>
  <c r="J166" i="1"/>
  <c r="K166" i="1" s="1"/>
  <c r="J215" i="1"/>
  <c r="K215" i="1" s="1"/>
  <c r="J218" i="1"/>
  <c r="K218" i="1" s="1"/>
  <c r="J229" i="1"/>
  <c r="K229" i="1" s="1"/>
  <c r="J256" i="1"/>
  <c r="K256" i="1" s="1"/>
  <c r="J313" i="1"/>
  <c r="K313" i="1" s="1"/>
  <c r="J321" i="1"/>
  <c r="K321" i="1" s="1"/>
  <c r="J329" i="1"/>
  <c r="K329" i="1" s="1"/>
  <c r="J337" i="1"/>
  <c r="K337" i="1" s="1"/>
  <c r="J345" i="1"/>
  <c r="K345" i="1" s="1"/>
  <c r="J368" i="1"/>
  <c r="K368" i="1" s="1"/>
  <c r="J376" i="1"/>
  <c r="K376" i="1" s="1"/>
  <c r="J384" i="1"/>
  <c r="K384" i="1" s="1"/>
  <c r="J485" i="1"/>
  <c r="K485" i="1" s="1"/>
  <c r="J493" i="1"/>
  <c r="K493" i="1" s="1"/>
  <c r="J433" i="1"/>
  <c r="K433" i="1" s="1"/>
  <c r="J439" i="1"/>
  <c r="K439" i="1" s="1"/>
  <c r="J457" i="1"/>
  <c r="K457" i="1" s="1"/>
  <c r="J4" i="1"/>
  <c r="K4" i="1" s="1"/>
  <c r="J12" i="1"/>
  <c r="K12" i="1" s="1"/>
  <c r="J120" i="1"/>
  <c r="K120" i="1" s="1"/>
  <c r="J174" i="1"/>
  <c r="K174" i="1" s="1"/>
  <c r="J182" i="1"/>
  <c r="K182" i="1" s="1"/>
  <c r="J193" i="1"/>
  <c r="K193" i="1" s="1"/>
  <c r="J201" i="1"/>
  <c r="K201" i="1" s="1"/>
  <c r="J207" i="1"/>
  <c r="K207" i="1" s="1"/>
  <c r="J209" i="1"/>
  <c r="K209" i="1" s="1"/>
  <c r="J361" i="1"/>
  <c r="K361" i="1" s="1"/>
  <c r="J369" i="1"/>
  <c r="K369" i="1" s="1"/>
  <c r="J377" i="1"/>
  <c r="K377" i="1" s="1"/>
  <c r="J385" i="1"/>
  <c r="K385" i="1" s="1"/>
  <c r="J409" i="1"/>
  <c r="K409" i="1" s="1"/>
  <c r="J486" i="1"/>
  <c r="K486" i="1" s="1"/>
  <c r="J494" i="1"/>
  <c r="K494" i="1" s="1"/>
  <c r="J502" i="1"/>
  <c r="K502" i="1" s="1"/>
  <c r="J216" i="1"/>
  <c r="K216" i="1" s="1"/>
  <c r="J97" i="1"/>
  <c r="K97" i="1" s="1"/>
  <c r="J105" i="1"/>
  <c r="K105" i="1" s="1"/>
  <c r="J228" i="1"/>
  <c r="K228" i="1" s="1"/>
  <c r="J244" i="1"/>
  <c r="K244" i="1" s="1"/>
  <c r="J203" i="1"/>
  <c r="K203" i="1" s="1"/>
  <c r="J282" i="1"/>
  <c r="K282" i="1" s="1"/>
  <c r="J60" i="1"/>
  <c r="K60" i="1" s="1"/>
  <c r="J126" i="1"/>
  <c r="K126" i="1" s="1"/>
  <c r="J145" i="1"/>
  <c r="K145" i="1" s="1"/>
  <c r="J153" i="1"/>
  <c r="K153" i="1" s="1"/>
  <c r="J164" i="1"/>
  <c r="K164" i="1" s="1"/>
  <c r="J172" i="1"/>
  <c r="K172" i="1" s="1"/>
  <c r="J180" i="1"/>
  <c r="K180" i="1" s="1"/>
  <c r="J20" i="1"/>
  <c r="K20" i="1" s="1"/>
  <c r="J73" i="1"/>
  <c r="K73" i="1" s="1"/>
  <c r="J81" i="1"/>
  <c r="K81" i="1" s="1"/>
  <c r="J214" i="1"/>
  <c r="K214" i="1" s="1"/>
  <c r="J220" i="1"/>
  <c r="K220" i="1" s="1"/>
  <c r="J231" i="1"/>
  <c r="K231" i="1" s="1"/>
  <c r="J239" i="1"/>
  <c r="K239" i="1" s="1"/>
  <c r="J62" i="1"/>
  <c r="K62" i="1" s="1"/>
  <c r="J87" i="1"/>
  <c r="K87" i="1" s="1"/>
  <c r="J101" i="1"/>
  <c r="K101" i="1" s="1"/>
  <c r="J109" i="1"/>
  <c r="K109" i="1" s="1"/>
  <c r="J8" i="1"/>
  <c r="K8" i="1" s="1"/>
  <c r="J191" i="1"/>
  <c r="K191" i="1" s="1"/>
  <c r="J199" i="1"/>
  <c r="K199" i="1" s="1"/>
  <c r="J243" i="1"/>
  <c r="K243" i="1" s="1"/>
  <c r="J254" i="1"/>
  <c r="K254" i="1" s="1"/>
  <c r="J262" i="1"/>
  <c r="K262" i="1" s="1"/>
  <c r="J270" i="1"/>
  <c r="K270" i="1" s="1"/>
  <c r="J356" i="1"/>
  <c r="K356" i="1" s="1"/>
  <c r="J362" i="1"/>
  <c r="K362" i="1" s="1"/>
  <c r="J370" i="1"/>
  <c r="K370" i="1" s="1"/>
  <c r="J378" i="1"/>
  <c r="K378" i="1" s="1"/>
  <c r="J386" i="1"/>
  <c r="K386" i="1" s="1"/>
  <c r="J416" i="1"/>
  <c r="K416" i="1" s="1"/>
  <c r="J205" i="1"/>
  <c r="K205" i="1" s="1"/>
  <c r="J13" i="1"/>
  <c r="K13" i="1" s="1"/>
  <c r="J404" i="1"/>
  <c r="K404" i="1" s="1"/>
  <c r="J443" i="1"/>
  <c r="K443" i="1" s="1"/>
  <c r="J112" i="1"/>
  <c r="K112" i="1" s="1"/>
  <c r="J136" i="1"/>
  <c r="K136" i="1" s="1"/>
  <c r="J142" i="1"/>
  <c r="K142" i="1" s="1"/>
  <c r="J150" i="1"/>
  <c r="K150" i="1" s="1"/>
  <c r="J161" i="1"/>
  <c r="K161" i="1" s="1"/>
  <c r="J169" i="1"/>
  <c r="K169" i="1" s="1"/>
  <c r="J177" i="1"/>
  <c r="K177" i="1" s="1"/>
  <c r="J185" i="1"/>
  <c r="K185" i="1" s="1"/>
  <c r="J188" i="1"/>
  <c r="K188" i="1" s="1"/>
  <c r="J196" i="1"/>
  <c r="K196" i="1" s="1"/>
  <c r="J212" i="1"/>
  <c r="K212" i="1" s="1"/>
  <c r="J226" i="1"/>
  <c r="K226" i="1" s="1"/>
  <c r="J315" i="1"/>
  <c r="K315" i="1" s="1"/>
  <c r="J323" i="1"/>
  <c r="K323" i="1" s="1"/>
  <c r="J411" i="1"/>
  <c r="K411" i="1" s="1"/>
  <c r="J421" i="1"/>
  <c r="K421" i="1" s="1"/>
  <c r="J432" i="1"/>
  <c r="K432" i="1" s="1"/>
  <c r="J488" i="1"/>
  <c r="K488" i="1" s="1"/>
  <c r="J496" i="1"/>
  <c r="K496" i="1" s="1"/>
  <c r="J504" i="1"/>
  <c r="K504" i="1" s="1"/>
  <c r="J61" i="1"/>
  <c r="K61" i="1" s="1"/>
  <c r="J78" i="1"/>
  <c r="K78" i="1" s="1"/>
  <c r="J91" i="1"/>
  <c r="K91" i="1" s="1"/>
  <c r="J94" i="1"/>
  <c r="K94" i="1" s="1"/>
  <c r="J102" i="1"/>
  <c r="K102" i="1" s="1"/>
  <c r="J110" i="1"/>
  <c r="K110" i="1" s="1"/>
  <c r="J148" i="1"/>
  <c r="K148" i="1" s="1"/>
  <c r="J156" i="1"/>
  <c r="K156" i="1" s="1"/>
  <c r="J159" i="1"/>
  <c r="K159" i="1" s="1"/>
  <c r="J167" i="1"/>
  <c r="K167" i="1" s="1"/>
  <c r="J175" i="1"/>
  <c r="K175" i="1" s="1"/>
  <c r="J264" i="1"/>
  <c r="K264" i="1" s="1"/>
  <c r="J5" i="1"/>
  <c r="K5" i="1" s="1"/>
  <c r="J235" i="1"/>
  <c r="K235" i="1" s="1"/>
  <c r="J245" i="1"/>
  <c r="K245" i="1" s="1"/>
  <c r="J367" i="1"/>
  <c r="K367" i="1" s="1"/>
  <c r="J375" i="1"/>
  <c r="K375" i="1" s="1"/>
  <c r="J383" i="1"/>
  <c r="K383" i="1" s="1"/>
  <c r="J394" i="1"/>
  <c r="K394" i="1" s="1"/>
  <c r="J397" i="1"/>
  <c r="K397" i="1" s="1"/>
  <c r="J403" i="1"/>
  <c r="K403" i="1" s="1"/>
  <c r="J67" i="1"/>
  <c r="K67" i="1" s="1"/>
  <c r="J89" i="1"/>
  <c r="K89" i="1" s="1"/>
  <c r="J294" i="1"/>
  <c r="K294" i="1" s="1"/>
  <c r="J305" i="1"/>
  <c r="K305" i="1" s="1"/>
  <c r="J484" i="1"/>
  <c r="K484" i="1" s="1"/>
  <c r="J492" i="1"/>
  <c r="K492" i="1" s="1"/>
  <c r="J500" i="1"/>
  <c r="K500" i="1" s="1"/>
  <c r="J2" i="1"/>
  <c r="K2" i="1" s="1"/>
  <c r="J10" i="1"/>
  <c r="K10" i="1" s="1"/>
  <c r="J79" i="1"/>
  <c r="K79" i="1" s="1"/>
  <c r="J95" i="1"/>
  <c r="K95" i="1" s="1"/>
  <c r="J103" i="1"/>
  <c r="K103" i="1" s="1"/>
  <c r="J138" i="1"/>
  <c r="K138" i="1" s="1"/>
  <c r="J141" i="1"/>
  <c r="K141" i="1" s="1"/>
  <c r="J149" i="1"/>
  <c r="K149" i="1" s="1"/>
  <c r="J160" i="1"/>
  <c r="K160" i="1" s="1"/>
  <c r="J246" i="1"/>
  <c r="K246" i="1" s="1"/>
  <c r="J365" i="1"/>
  <c r="K365" i="1" s="1"/>
  <c r="J373" i="1"/>
  <c r="K373" i="1" s="1"/>
  <c r="J381" i="1"/>
  <c r="K381" i="1" s="1"/>
  <c r="J389" i="1"/>
  <c r="K389" i="1" s="1"/>
  <c r="J392" i="1"/>
  <c r="K392" i="1" s="1"/>
  <c r="J410" i="1"/>
  <c r="K410" i="1" s="1"/>
  <c r="J108" i="1"/>
  <c r="K108" i="1" s="1"/>
  <c r="J116" i="1"/>
  <c r="K116" i="1" s="1"/>
  <c r="J237" i="1"/>
  <c r="K237" i="1" s="1"/>
  <c r="J247" i="1"/>
  <c r="K247" i="1" s="1"/>
  <c r="J335" i="1"/>
  <c r="K335" i="1" s="1"/>
  <c r="J343" i="1"/>
  <c r="K343" i="1" s="1"/>
  <c r="J348" i="1"/>
  <c r="K348" i="1" s="1"/>
  <c r="J233" i="1"/>
  <c r="K233" i="1" s="1"/>
  <c r="J454" i="1"/>
  <c r="K454" i="1" s="1"/>
  <c r="J49" i="1"/>
  <c r="K49" i="1" s="1"/>
  <c r="J57" i="1"/>
  <c r="K57" i="1" s="1"/>
  <c r="J65" i="1"/>
  <c r="K65" i="1" s="1"/>
  <c r="J71" i="1"/>
  <c r="K71" i="1" s="1"/>
  <c r="J74" i="1"/>
  <c r="K74" i="1" s="1"/>
  <c r="J82" i="1"/>
  <c r="K82" i="1" s="1"/>
  <c r="J98" i="1"/>
  <c r="K98" i="1" s="1"/>
  <c r="J106" i="1"/>
  <c r="K106" i="1" s="1"/>
  <c r="J122" i="1"/>
  <c r="K122" i="1" s="1"/>
  <c r="J127" i="1"/>
  <c r="K127" i="1" s="1"/>
  <c r="J130" i="1"/>
  <c r="K130" i="1" s="1"/>
  <c r="J232" i="1"/>
  <c r="K232" i="1" s="1"/>
  <c r="J240" i="1"/>
  <c r="K240" i="1" s="1"/>
  <c r="J269" i="1"/>
  <c r="K269" i="1" s="1"/>
  <c r="J277" i="1"/>
  <c r="K277" i="1" s="1"/>
  <c r="J285" i="1"/>
  <c r="K285" i="1" s="1"/>
  <c r="J293" i="1"/>
  <c r="K293" i="1" s="1"/>
  <c r="J310" i="1"/>
  <c r="K310" i="1" s="1"/>
  <c r="J318" i="1"/>
  <c r="K318" i="1" s="1"/>
  <c r="J326" i="1"/>
  <c r="K326" i="1" s="1"/>
  <c r="J338" i="1"/>
  <c r="K338" i="1" s="1"/>
  <c r="J346" i="1"/>
  <c r="K346" i="1" s="1"/>
  <c r="J393" i="1"/>
  <c r="K393" i="1" s="1"/>
  <c r="J417" i="1"/>
  <c r="K417" i="1" s="1"/>
  <c r="J434" i="1"/>
  <c r="K434" i="1" s="1"/>
  <c r="J440" i="1"/>
  <c r="K440" i="1" s="1"/>
  <c r="J489" i="1"/>
  <c r="K489" i="1" s="1"/>
  <c r="J497" i="1"/>
  <c r="K497" i="1" s="1"/>
  <c r="J505" i="1"/>
  <c r="K505" i="1" s="1"/>
  <c r="J444" i="1"/>
  <c r="K444" i="1" s="1"/>
  <c r="J241" i="1"/>
  <c r="K241" i="1" s="1"/>
  <c r="J134" i="1"/>
  <c r="K134" i="1" s="1"/>
  <c r="J80" i="1"/>
  <c r="K80" i="1" s="1"/>
  <c r="J85" i="1"/>
  <c r="K85" i="1" s="1"/>
  <c r="J96" i="1"/>
  <c r="K96" i="1" s="1"/>
  <c r="J104" i="1"/>
  <c r="K104" i="1" s="1"/>
  <c r="J128" i="1"/>
  <c r="K128" i="1" s="1"/>
  <c r="J133" i="1"/>
  <c r="K133" i="1" s="1"/>
  <c r="J225" i="1"/>
  <c r="K225" i="1" s="1"/>
  <c r="J230" i="1"/>
  <c r="K230" i="1" s="1"/>
  <c r="J248" i="1"/>
  <c r="K248" i="1" s="1"/>
  <c r="J259" i="1"/>
  <c r="K259" i="1" s="1"/>
  <c r="J267" i="1"/>
  <c r="K267" i="1" s="1"/>
  <c r="J275" i="1"/>
  <c r="K275" i="1" s="1"/>
  <c r="J280" i="1"/>
  <c r="K280" i="1" s="1"/>
  <c r="J283" i="1"/>
  <c r="K283" i="1" s="1"/>
  <c r="J288" i="1"/>
  <c r="K288" i="1" s="1"/>
  <c r="J291" i="1"/>
  <c r="K291" i="1" s="1"/>
  <c r="J299" i="1"/>
  <c r="K299" i="1" s="1"/>
  <c r="J302" i="1"/>
  <c r="K302" i="1" s="1"/>
  <c r="J308" i="1"/>
  <c r="K308" i="1" s="1"/>
  <c r="J316" i="1"/>
  <c r="K316" i="1" s="1"/>
  <c r="J324" i="1"/>
  <c r="K324" i="1" s="1"/>
  <c r="J336" i="1"/>
  <c r="K336" i="1" s="1"/>
  <c r="J344" i="1"/>
  <c r="K344" i="1" s="1"/>
  <c r="J358" i="1"/>
  <c r="K358" i="1" s="1"/>
  <c r="J402" i="1"/>
  <c r="K402" i="1" s="1"/>
  <c r="J405" i="1"/>
  <c r="K405" i="1" s="1"/>
  <c r="J447" i="1"/>
  <c r="K447" i="1" s="1"/>
  <c r="J450" i="1"/>
  <c r="K450" i="1" s="1"/>
  <c r="J456" i="1"/>
  <c r="K456" i="1" s="1"/>
  <c r="J459" i="1"/>
  <c r="K459" i="1" s="1"/>
  <c r="J487" i="1"/>
  <c r="K487" i="1" s="1"/>
  <c r="J495" i="1"/>
  <c r="K495" i="1" s="1"/>
  <c r="J503" i="1"/>
  <c r="K503" i="1" s="1"/>
  <c r="J92" i="1"/>
  <c r="K92" i="1" s="1"/>
  <c r="J115" i="1"/>
  <c r="K115" i="1" s="1"/>
  <c r="J123" i="1"/>
  <c r="K123" i="1" s="1"/>
  <c r="J183" i="1"/>
  <c r="K183" i="1" s="1"/>
  <c r="J194" i="1"/>
  <c r="K194" i="1" s="1"/>
  <c r="J202" i="1"/>
  <c r="K202" i="1" s="1"/>
  <c r="J210" i="1"/>
  <c r="K210" i="1" s="1"/>
  <c r="J223" i="1"/>
  <c r="K223" i="1" s="1"/>
  <c r="J242" i="1"/>
  <c r="K242" i="1" s="1"/>
  <c r="J257" i="1"/>
  <c r="K257" i="1" s="1"/>
  <c r="J265" i="1"/>
  <c r="K265" i="1" s="1"/>
  <c r="J273" i="1"/>
  <c r="K273" i="1" s="1"/>
  <c r="J278" i="1"/>
  <c r="K278" i="1" s="1"/>
  <c r="J281" i="1"/>
  <c r="K281" i="1" s="1"/>
  <c r="J286" i="1"/>
  <c r="K286" i="1" s="1"/>
  <c r="J289" i="1"/>
  <c r="K289" i="1" s="1"/>
  <c r="J297" i="1"/>
  <c r="K297" i="1" s="1"/>
  <c r="J125" i="1"/>
  <c r="K125" i="1" s="1"/>
  <c r="J64" i="1"/>
  <c r="K64" i="1" s="1"/>
  <c r="J88" i="1"/>
  <c r="K88" i="1" s="1"/>
  <c r="J137" i="1"/>
  <c r="K137" i="1" s="1"/>
  <c r="J46" i="1"/>
  <c r="K46" i="1" s="1"/>
  <c r="J54" i="1"/>
  <c r="K54" i="1" s="1"/>
  <c r="J76" i="1"/>
  <c r="K76" i="1" s="1"/>
  <c r="J84" i="1"/>
  <c r="K84" i="1" s="1"/>
  <c r="J86" i="1"/>
  <c r="K86" i="1" s="1"/>
  <c r="J99" i="1"/>
  <c r="K99" i="1" s="1"/>
  <c r="J107" i="1"/>
  <c r="K107" i="1" s="1"/>
  <c r="J135" i="1"/>
  <c r="K135" i="1" s="1"/>
  <c r="J143" i="1"/>
  <c r="K143" i="1" s="1"/>
  <c r="J352" i="1"/>
  <c r="K352" i="1" s="1"/>
  <c r="J357" i="1"/>
  <c r="K357" i="1" s="1"/>
  <c r="J113" i="1"/>
  <c r="K113" i="1" s="1"/>
  <c r="J15" i="1"/>
  <c r="K15" i="1" s="1"/>
  <c r="J111" i="1"/>
  <c r="K111" i="1" s="1"/>
  <c r="J146" i="1"/>
  <c r="K146" i="1" s="1"/>
  <c r="J154" i="1"/>
  <c r="K154" i="1" s="1"/>
  <c r="J165" i="1"/>
  <c r="K165" i="1" s="1"/>
  <c r="J173" i="1"/>
  <c r="K173" i="1" s="1"/>
  <c r="J181" i="1"/>
  <c r="K181" i="1" s="1"/>
  <c r="J192" i="1"/>
  <c r="K192" i="1" s="1"/>
  <c r="J200" i="1"/>
  <c r="K200" i="1" s="1"/>
  <c r="J208" i="1"/>
  <c r="K208" i="1" s="1"/>
  <c r="J238" i="1"/>
  <c r="K238" i="1" s="1"/>
  <c r="J255" i="1"/>
  <c r="K255" i="1" s="1"/>
  <c r="J263" i="1"/>
  <c r="K263" i="1" s="1"/>
  <c r="J271" i="1"/>
  <c r="K271" i="1" s="1"/>
  <c r="J279" i="1"/>
  <c r="K279" i="1" s="1"/>
  <c r="J284" i="1"/>
  <c r="K284" i="1" s="1"/>
  <c r="J287" i="1"/>
  <c r="K287" i="1" s="1"/>
  <c r="J295" i="1"/>
  <c r="K295" i="1" s="1"/>
  <c r="J311" i="1"/>
  <c r="K311" i="1" s="1"/>
  <c r="J319" i="1"/>
  <c r="K319" i="1" s="1"/>
  <c r="J327" i="1"/>
  <c r="K327" i="1" s="1"/>
  <c r="J331" i="1"/>
  <c r="K331" i="1" s="1"/>
  <c r="J339" i="1"/>
  <c r="K339" i="1" s="1"/>
  <c r="J347" i="1"/>
  <c r="K347" i="1" s="1"/>
  <c r="J355" i="1"/>
  <c r="K355" i="1" s="1"/>
  <c r="J363" i="1"/>
  <c r="K363" i="1" s="1"/>
  <c r="J371" i="1"/>
  <c r="K371" i="1" s="1"/>
  <c r="J379" i="1"/>
  <c r="K379" i="1" s="1"/>
  <c r="J387" i="1"/>
  <c r="K387" i="1" s="1"/>
  <c r="J401" i="1"/>
  <c r="K401" i="1" s="1"/>
  <c r="J412" i="1"/>
  <c r="K412" i="1" s="1"/>
  <c r="J429" i="1"/>
  <c r="K429" i="1" s="1"/>
  <c r="J448" i="1"/>
  <c r="K448" i="1" s="1"/>
  <c r="J451" i="1"/>
  <c r="K451" i="1" s="1"/>
  <c r="J90" i="1"/>
  <c r="K90" i="1" s="1"/>
  <c r="J139" i="1"/>
  <c r="K139" i="1" s="1"/>
  <c r="J7" i="1"/>
  <c r="K7" i="1" s="1"/>
  <c r="J121" i="1"/>
  <c r="K121" i="1" s="1"/>
  <c r="J131" i="1"/>
  <c r="K131" i="1" s="1"/>
  <c r="J168" i="1"/>
  <c r="K168" i="1" s="1"/>
  <c r="J176" i="1"/>
  <c r="K176" i="1" s="1"/>
  <c r="J184" i="1"/>
  <c r="K184" i="1" s="1"/>
  <c r="J187" i="1"/>
  <c r="K187" i="1" s="1"/>
  <c r="J195" i="1"/>
  <c r="K195" i="1" s="1"/>
  <c r="J211" i="1"/>
  <c r="K211" i="1" s="1"/>
  <c r="J221" i="1"/>
  <c r="K221" i="1" s="1"/>
  <c r="J224" i="1"/>
  <c r="K224" i="1" s="1"/>
  <c r="J236" i="1"/>
  <c r="K236" i="1" s="1"/>
  <c r="J258" i="1"/>
  <c r="K258" i="1" s="1"/>
  <c r="J266" i="1"/>
  <c r="K266" i="1" s="1"/>
  <c r="J274" i="1"/>
  <c r="K274" i="1" s="1"/>
  <c r="J290" i="1"/>
  <c r="K290" i="1" s="1"/>
  <c r="J298" i="1"/>
  <c r="K298" i="1" s="1"/>
  <c r="J314" i="1"/>
  <c r="K314" i="1" s="1"/>
  <c r="J322" i="1"/>
  <c r="K322" i="1" s="1"/>
  <c r="J330" i="1"/>
  <c r="K330" i="1" s="1"/>
  <c r="J334" i="1"/>
  <c r="K334" i="1" s="1"/>
  <c r="J342" i="1"/>
  <c r="K342" i="1" s="1"/>
  <c r="J350" i="1"/>
  <c r="K350" i="1" s="1"/>
  <c r="J353" i="1"/>
  <c r="K353" i="1" s="1"/>
  <c r="J366" i="1"/>
  <c r="K366" i="1" s="1"/>
  <c r="J374" i="1"/>
  <c r="K374" i="1" s="1"/>
  <c r="J382" i="1"/>
  <c r="K382" i="1" s="1"/>
  <c r="J398" i="1"/>
  <c r="K398" i="1" s="1"/>
  <c r="J438" i="1"/>
  <c r="K438" i="1" s="1"/>
  <c r="J66" i="1"/>
  <c r="K66" i="1" s="1"/>
  <c r="J6" i="1"/>
  <c r="K6" i="1" s="1"/>
  <c r="J14" i="1"/>
  <c r="K14" i="1" s="1"/>
  <c r="J63" i="1"/>
  <c r="K63" i="1" s="1"/>
  <c r="J68" i="1"/>
  <c r="K68" i="1" s="1"/>
  <c r="J77" i="1"/>
  <c r="K77" i="1" s="1"/>
  <c r="J100" i="1"/>
  <c r="K100" i="1" s="1"/>
  <c r="J117" i="1"/>
  <c r="K117" i="1" s="1"/>
  <c r="J129" i="1"/>
  <c r="K129" i="1" s="1"/>
  <c r="J144" i="1"/>
  <c r="K144" i="1" s="1"/>
  <c r="J152" i="1"/>
  <c r="K152" i="1" s="1"/>
  <c r="J163" i="1"/>
  <c r="K163" i="1" s="1"/>
  <c r="J171" i="1"/>
  <c r="K171" i="1" s="1"/>
  <c r="J179" i="1"/>
  <c r="K179" i="1" s="1"/>
  <c r="J190" i="1"/>
  <c r="K190" i="1" s="1"/>
  <c r="J198" i="1"/>
  <c r="K198" i="1" s="1"/>
  <c r="J206" i="1"/>
  <c r="K206" i="1" s="1"/>
  <c r="J219" i="1"/>
  <c r="K219" i="1" s="1"/>
  <c r="J227" i="1"/>
  <c r="K227" i="1" s="1"/>
  <c r="J234" i="1"/>
  <c r="K234" i="1" s="1"/>
  <c r="J250" i="1"/>
  <c r="K250" i="1" s="1"/>
  <c r="J253" i="1"/>
  <c r="K253" i="1" s="1"/>
  <c r="J261" i="1"/>
  <c r="K261" i="1" s="1"/>
  <c r="J272" i="1"/>
  <c r="K272" i="1" s="1"/>
  <c r="J296" i="1"/>
  <c r="K296" i="1" s="1"/>
  <c r="J304" i="1"/>
  <c r="K304" i="1" s="1"/>
  <c r="J312" i="1"/>
  <c r="K312" i="1" s="1"/>
  <c r="J320" i="1"/>
  <c r="K320" i="1" s="1"/>
  <c r="J328" i="1"/>
  <c r="K328" i="1" s="1"/>
  <c r="J332" i="1"/>
  <c r="K332" i="1" s="1"/>
  <c r="J340" i="1"/>
  <c r="K340" i="1" s="1"/>
  <c r="J364" i="1"/>
  <c r="K364" i="1" s="1"/>
  <c r="J372" i="1"/>
  <c r="K372" i="1" s="1"/>
  <c r="J380" i="1"/>
  <c r="K380" i="1" s="1"/>
  <c r="J388" i="1"/>
  <c r="K388" i="1" s="1"/>
  <c r="J396" i="1"/>
  <c r="K396" i="1" s="1"/>
  <c r="J452" i="1"/>
  <c r="K452" i="1" s="1"/>
  <c r="J9" i="1"/>
  <c r="K9" i="1" s="1"/>
  <c r="J17" i="1"/>
  <c r="K17" i="1" s="1"/>
  <c r="J44" i="1"/>
  <c r="K44" i="1" s="1"/>
  <c r="J52" i="1"/>
  <c r="K52" i="1" s="1"/>
  <c r="J47" i="1"/>
  <c r="K47" i="1" s="1"/>
  <c r="J55" i="1"/>
  <c r="K55" i="1" s="1"/>
  <c r="J18" i="1"/>
  <c r="K18" i="1" s="1"/>
  <c r="J58" i="1"/>
  <c r="K58" i="1" s="1"/>
  <c r="J45" i="1"/>
  <c r="K45" i="1" s="1"/>
  <c r="J53" i="1"/>
  <c r="K53" i="1" s="1"/>
  <c r="J16" i="1"/>
  <c r="K16" i="1" s="1"/>
  <c r="J21" i="1"/>
  <c r="K21" i="1" s="1"/>
  <c r="J48" i="1"/>
  <c r="K48" i="1" s="1"/>
  <c r="J56" i="1"/>
  <c r="K56" i="1" s="1"/>
  <c r="J43" i="1"/>
  <c r="K43" i="1" s="1"/>
  <c r="J51" i="1"/>
  <c r="K51" i="1" s="1"/>
  <c r="J59" i="1"/>
  <c r="K59" i="1" s="1"/>
  <c r="J19" i="1"/>
  <c r="K19" i="1" s="1"/>
  <c r="J11" i="1"/>
  <c r="K11" i="1" s="1"/>
  <c r="J3" i="1"/>
  <c r="K3" i="1" s="1"/>
</calcChain>
</file>

<file path=xl/sharedStrings.xml><?xml version="1.0" encoding="utf-8"?>
<sst xmlns="http://schemas.openxmlformats.org/spreadsheetml/2006/main" count="5804" uniqueCount="1024">
  <si>
    <t>English</t>
  </si>
  <si>
    <t>Translation</t>
  </si>
  <si>
    <t>UCP</t>
  </si>
  <si>
    <t>PE</t>
  </si>
  <si>
    <t>Human annotation</t>
  </si>
  <si>
    <t>Simplified</t>
  </si>
  <si>
    <t>Automatic annotation</t>
  </si>
  <si>
    <t>Match</t>
  </si>
  <si>
    <t>A thud. The thud.</t>
  </si>
  <si>
    <t>Un cop. El cop.</t>
  </si>
  <si>
    <t>R</t>
  </si>
  <si>
    <t xml:space="preserve">Stopped moving. Breathing. Thinking </t>
  </si>
  <si>
    <t>Vaig deixar de moure’m. De respirar. De pensar</t>
  </si>
  <si>
    <t>moving. Breathing.thinking</t>
  </si>
  <si>
    <t xml:space="preserve">de moure’m. De respirar. De pensar. </t>
  </si>
  <si>
    <t>All functions seem to shut down to divert resources to my eardrums</t>
  </si>
  <si>
    <t xml:space="preserve">Totes les funcions semblaven apagar-se per destinar tots els recursos al timpà. </t>
  </si>
  <si>
    <t>shut down</t>
  </si>
  <si>
    <t xml:space="preserve">apagar-se </t>
  </si>
  <si>
    <t>divert resources</t>
  </si>
  <si>
    <t>destinar tots els recursos</t>
  </si>
  <si>
    <t>Overhead, there was a flurry of footsteps</t>
  </si>
  <si>
    <t xml:space="preserve">A dalt, corredisses. </t>
  </si>
  <si>
    <t>a flurry of footsteps</t>
  </si>
  <si>
    <t>corredisses</t>
  </si>
  <si>
    <t>CS</t>
  </si>
  <si>
    <t>Someone on the second floor was running at a nauseating, inhuman speed.</t>
  </si>
  <si>
    <t>Algú al segon pis corria amb una velocitat anguniosa, inhumana.</t>
  </si>
  <si>
    <t>second floor</t>
  </si>
  <si>
    <t>segon pis</t>
  </si>
  <si>
    <t>It was as though a magnet were attached to the soles of those feet, and the nickel in my scalp dragged me along for the ride</t>
  </si>
  <si>
    <t>Era com si aquells peus duguessin un imant enganxat a la sola que anés arrossegant-me pel níquel que tenia al cuir cabellut</t>
  </si>
  <si>
    <t>attached</t>
  </si>
  <si>
    <t>enganxat</t>
  </si>
  <si>
    <t>the soles of those feet</t>
  </si>
  <si>
    <t>la sola</t>
  </si>
  <si>
    <t>nickel in my scalp</t>
  </si>
  <si>
    <t>el níquel que tenia al cuir cabellut</t>
  </si>
  <si>
    <t>dragged me along for the ride</t>
  </si>
  <si>
    <t>arrossegant-me pel níquel…</t>
  </si>
  <si>
    <t>past the wall of our composites, under the poorly plastered crack in the ceiling, and finally, to the place between the coat closet and the louvered kitchen doors where the footsteps stopped and so did I</t>
  </si>
  <si>
    <t>passant de llarg la paret amb totes les nostres fotos, per sota l’esquerda mal enguixada del sostre i fins al punt entre l’armari dels abrics i les portes de llibret de la cuina on les passes finalment es van aturar, i jo també</t>
  </si>
  <si>
    <t>our composites</t>
  </si>
  <si>
    <t>fotos</t>
  </si>
  <si>
    <t>CSA</t>
  </si>
  <si>
    <t>poorly plasered crack</t>
  </si>
  <si>
    <t>l'esquerda mal enguixada</t>
  </si>
  <si>
    <t>the coat closet</t>
  </si>
  <si>
    <t>l'armari dels abrics</t>
  </si>
  <si>
    <t>the louvered kitchen doors</t>
  </si>
  <si>
    <t>les portes de llibret de la cuina</t>
  </si>
  <si>
    <t>I was standing in the shadow of the main stairwell, facing the double front doors approximately thirteen feet and two inches in front of me</t>
  </si>
  <si>
    <t>Em vaig quedar a l’ombra de l’escala principal, de cara les portes dobles de l’entrada, que eren a uns quatre metres i deu centímetres de mi</t>
  </si>
  <si>
    <t>the main stairwell</t>
  </si>
  <si>
    <t>l'escala principal</t>
  </si>
  <si>
    <t>the double front doors</t>
  </si>
  <si>
    <t>portes dobles de l'entrada</t>
  </si>
  <si>
    <t>thirteen feet and two inches</t>
  </si>
  <si>
    <t>quatre metres i deu centímetres</t>
  </si>
  <si>
    <t>CSM</t>
  </si>
  <si>
    <t>I guessed fifteen feet, but when the detective measured no more than an hour later, I found I’d ever so slightly overshot the distance between us.</t>
  </si>
  <si>
    <t>Jo havia calculat quatre metres i mig però, quan el detectiu ho va mesurar al cap de no més d’una hora, vaig descobrir que havia sobreestimat lleugerament la distància que ens separava.</t>
  </si>
  <si>
    <t>fifteen feet</t>
  </si>
  <si>
    <t>quatre metres i mig</t>
  </si>
  <si>
    <t>ever so slightly</t>
  </si>
  <si>
    <t>lleugerament</t>
  </si>
  <si>
    <t>overshot</t>
  </si>
  <si>
    <t>sobreestimat</t>
  </si>
  <si>
    <t>ST</t>
  </si>
  <si>
    <t>TT</t>
  </si>
  <si>
    <t>Genre</t>
  </si>
  <si>
    <t>Modality</t>
  </si>
  <si>
    <t>Catalan</t>
  </si>
  <si>
    <t xml:space="preserve">Thriller </t>
  </si>
  <si>
    <t>MT</t>
  </si>
  <si>
    <t xml:space="preserve">Vaig deixar de moure’m. De respirar. De pensar. </t>
  </si>
  <si>
    <t xml:space="preserve">Totes les funcions semblaven apagar-se per destinar tots els recursos al meu timpà. </t>
  </si>
  <si>
    <t>apagar-se</t>
  </si>
  <si>
    <t xml:space="preserve">A dalt, un enrenou de passes. </t>
  </si>
  <si>
    <t>enrenou de passes</t>
  </si>
  <si>
    <t>Algú al segon pis corria amb una velocitat nauseabunda, inhumana.</t>
  </si>
  <si>
    <t>Era com si un imant estigués lligat a la sola d’aquells peus, i el níquel del meu cuir cabellut m’arrossegués amb ell —</t>
  </si>
  <si>
    <t>lligat</t>
  </si>
  <si>
    <t>la sola d'aquells peus</t>
  </si>
  <si>
    <t>el níquel del meu cuir cabellut</t>
  </si>
  <si>
    <t>m'arrossegués amb ell</t>
  </si>
  <si>
    <t>més enllà de la paret amb les nostres fotografies de grup, sota l’esquerda mal enguixada del sostre, i finalment fins a l’espai entre l’armari dels abrics i les portes enreixades de la cuina, on les passes es van aturar, i jo amb elles.</t>
  </si>
  <si>
    <t>fotografies de grup</t>
  </si>
  <si>
    <t>les portes enreixades de la cuina</t>
  </si>
  <si>
    <t xml:space="preserve">Jo era a l’ombra de l’escala principal, mirant de cara les portes dobles d’entrada, a tretze peus i dues polzades exactes davant meu. </t>
  </si>
  <si>
    <t>portes dobles d'entrada</t>
  </si>
  <si>
    <t>tretze peus i dues polzades</t>
  </si>
  <si>
    <t>Jo havia calculat quinze peus, però quan el detectiu ho va mesurar no més d’una hora després, vaig descobrir que havia excedit lleugerament la distància que ens separava.</t>
  </si>
  <si>
    <t>quinze peus</t>
  </si>
  <si>
    <t>excedit</t>
  </si>
  <si>
    <t>HT</t>
  </si>
  <si>
    <t>Un trompada. La trompada.</t>
  </si>
  <si>
    <t xml:space="preserve">Vaig parar de moure’m. De respirar. De pensar. </t>
  </si>
  <si>
    <t>de moure’m. De respirar. De pensar</t>
  </si>
  <si>
    <t xml:space="preserve">Va ser com si totes les funcions quedessin interrompudes per desviar els recursos als meus timpans. </t>
  </si>
  <si>
    <t xml:space="preserve">quedessin interrompudes </t>
  </si>
  <si>
    <t>desviar els recursos</t>
  </si>
  <si>
    <t xml:space="preserve"> A sobre meu, enrenou de passes</t>
  </si>
  <si>
    <t>Al segon pis, algú corria a una velocitat inhumana que et regirava l’estómac.</t>
  </si>
  <si>
    <t>Era com si les soles d’aquelles sabates duguessin un imant enganxat, i el níquel de la meva closca m’hi arrossegués al darrere</t>
  </si>
  <si>
    <t xml:space="preserve">les soles d’aquelles sabates </t>
  </si>
  <si>
    <t>el níquel de la meva closca</t>
  </si>
  <si>
    <t>m’hi arrossegués al darrere</t>
  </si>
  <si>
    <t xml:space="preserve">passant per davant de la nostra paret de retrats, per sota de l’esquerda mal adobada del sostre i fins a l’espai entre l’armari dels abrics i les portes de llibret de la cuina, on les passes es van aturar i jo també. </t>
  </si>
  <si>
    <t>retrats</t>
  </si>
  <si>
    <t xml:space="preserve">l’esquerda mal adobada </t>
  </si>
  <si>
    <t xml:space="preserve">Era dreta a l’ombra de l’escala, de cara a la porta d’entrada de dues ventalles, que em quedava a aproximadament quatre metres i deu centímetres. </t>
  </si>
  <si>
    <t>l'escala</t>
  </si>
  <si>
    <t>porta d'entrada de dues ventalles</t>
  </si>
  <si>
    <t xml:space="preserve">Jo hauria dit quatre metres i mig, però quan l’inspector va prendre mides tot just una hora després, va resultar que havia sobreestimat —res, una mica de no res— la distància que ens separava. </t>
  </si>
  <si>
    <t>res, una mica de no res</t>
  </si>
  <si>
    <t>He became aware that Sally had emerged from her book and was about to say something.</t>
  </si>
  <si>
    <t>Es va adonar que la Sally havia emergit del llibre i estava a punt de dir alguna cosa.</t>
  </si>
  <si>
    <t>had emerged</t>
  </si>
  <si>
    <t xml:space="preserve">havia emergit </t>
  </si>
  <si>
    <t xml:space="preserve">“Murder is an occupational risk for prostitutes.” </t>
  </si>
  <si>
    <t>—L’assassinat és un risc laboral per a les prostitutes.</t>
  </si>
  <si>
    <t>murder</t>
  </si>
  <si>
    <t>L'assassinat</t>
  </si>
  <si>
    <t xml:space="preserve">“Hmm,” said he, clinging to the thread of his calculations.  </t>
  </si>
  <si>
    <t xml:space="preserve">—Hmm —va fer ell, sense abandonar les seves càbales. </t>
  </si>
  <si>
    <t>clinging to the thread</t>
  </si>
  <si>
    <t>sense abandonar les seves càbales</t>
  </si>
  <si>
    <t xml:space="preserve">They grew so engrossing that when next she spoke it took him by surprise. </t>
  </si>
  <si>
    <t>El tenien tan absort que quan ella va tornar a parlar el va agafar desprevingut.</t>
  </si>
  <si>
    <t>grew … engrossing</t>
  </si>
  <si>
    <t xml:space="preserve">El tenien tan absort </t>
  </si>
  <si>
    <t>when next</t>
  </si>
  <si>
    <t xml:space="preserve">quan ella va tornar a parlar </t>
  </si>
  <si>
    <t>took him by surprise</t>
  </si>
  <si>
    <t>el va agafar desprevingut</t>
  </si>
  <si>
    <t xml:space="preserve">“And for wives, too—though not so much.” </t>
  </si>
  <si>
    <t>—I per a les dones casades, també…, tot i que menys.</t>
  </si>
  <si>
    <t>not so much</t>
  </si>
  <si>
    <t>menys</t>
  </si>
  <si>
    <t xml:space="preserve">Inwardly assenting, Willie asked, </t>
  </si>
  <si>
    <t>Donant l’observació per bona, en Willie va preguntar:</t>
  </si>
  <si>
    <t>Inwardly assenting</t>
  </si>
  <si>
    <t>Donant l’observació per bona</t>
  </si>
  <si>
    <t>O</t>
  </si>
  <si>
    <t xml:space="preserve">“What on earth are you reading now?” </t>
  </si>
  <si>
    <t>—Es pot saber què llegeixes, ara?</t>
  </si>
  <si>
    <t>on earth</t>
  </si>
  <si>
    <t>I got it from the public library.”</t>
  </si>
  <si>
    <t>L’he tret de la biblioteca.</t>
  </si>
  <si>
    <t>got</t>
  </si>
  <si>
    <t>L'he tret</t>
  </si>
  <si>
    <t>public library</t>
  </si>
  <si>
    <t>biblioteca</t>
  </si>
  <si>
    <t xml:space="preserve">“Yes. In rather a stark way. </t>
  </si>
  <si>
    <t>—Sí. Té un plantejament força cru</t>
  </si>
  <si>
    <t>rather</t>
  </si>
  <si>
    <t>força</t>
  </si>
  <si>
    <t>stark</t>
  </si>
  <si>
    <t>cru</t>
  </si>
  <si>
    <t>“Sounds enthralling.”</t>
  </si>
  <si>
    <t>—Sona apassionant.</t>
  </si>
  <si>
    <t>enthralling</t>
  </si>
  <si>
    <t>apassionant</t>
  </si>
  <si>
    <t>Of course, that’s a good thing.”</t>
  </si>
  <si>
    <t>És clar que això és bo.</t>
  </si>
  <si>
    <t xml:space="preserve">Of course, that’s a good thing.” </t>
  </si>
  <si>
    <t>és clar que això és bo</t>
  </si>
  <si>
    <t xml:space="preserve">He looked at Sally’s sleek flaxen hair, now bent over her book again.  </t>
  </si>
  <si>
    <t xml:space="preserve">En Willie mirà els cabells rossos i pulcrament pentinats de la Sally, que tornava a estar inclinada sobre el llibre. </t>
  </si>
  <si>
    <t>sleek flaxen hair</t>
  </si>
  <si>
    <t>cabells rossos i pulcrament pentinats</t>
  </si>
  <si>
    <t>CSC</t>
  </si>
  <si>
    <t xml:space="preserve">Though he was still young, still a student, he was a year older than she and found her artless sophistications touching.  </t>
  </si>
  <si>
    <t xml:space="preserve">Tot i que encara era un jove estudiant, era un any més gran que ella, i trobava commovedors els seus sofismes ingenus. </t>
  </si>
  <si>
    <t>her artless sophistications</t>
  </si>
  <si>
    <t>els seus sofismes ingenus</t>
  </si>
  <si>
    <t>touching</t>
  </si>
  <si>
    <t>commovedors</t>
  </si>
  <si>
    <t xml:space="preserve">It was as though the mental processes beneath that hood of silken hair were as sleek, as smoothly disposed, as childishly combed and clean. </t>
  </si>
  <si>
    <t>Era com si els processos mentals que s’amagaven sota aquella caputxa de cabells sedosos fossin igual de polits, igual de pulcres i igual de nets que els cabells mateixos, repentinats com els d’una criatura.</t>
  </si>
  <si>
    <t>that hood of silken hair</t>
  </si>
  <si>
    <t>aquella caputxa de cabells sedosos</t>
  </si>
  <si>
    <t>as… as … as</t>
  </si>
  <si>
    <t>igual… igual… igual…</t>
  </si>
  <si>
    <t>sleek</t>
  </si>
  <si>
    <t>polits</t>
  </si>
  <si>
    <t>smoothly disposed</t>
  </si>
  <si>
    <t>pulcres</t>
  </si>
  <si>
    <t>childishly combed and cleaned</t>
  </si>
  <si>
    <t>igual de nets que els cabells mateixos, repentinats com els d’una criatura</t>
  </si>
  <si>
    <t>ShortStory</t>
  </si>
  <si>
    <t>Ell s’adonà que la Sally havia sortit del seu llibre i estava a punt de dir alguna cosa.</t>
  </si>
  <si>
    <t xml:space="preserve">havia sortit </t>
  </si>
  <si>
    <t>—L’assassinat és un risc professional per a les prostitutes.</t>
  </si>
  <si>
    <t>—Hmm —féu ell, aferrat encara al fil dels seus càlculs</t>
  </si>
  <si>
    <t>aferrat encara al fil dels seus càlculs</t>
  </si>
  <si>
    <t>L’absorbien tant, que quan ella tornà a parlar el va sorprendre.</t>
  </si>
  <si>
    <t>L’absorbien tant</t>
  </si>
  <si>
    <t>quan ella tornà a parlar</t>
  </si>
  <si>
    <t>el va sorprendre</t>
  </si>
  <si>
    <t>—I per a les dones casades, també —tot i que menys.</t>
  </si>
  <si>
    <t>Amb una aprovació muda, en Willie preguntà:</t>
  </si>
  <si>
    <t>Amb una aprovació muda</t>
  </si>
  <si>
    <t>—I ara què llegeixes?</t>
  </si>
  <si>
    <t>L’he tret de la biblioteca pública.</t>
  </si>
  <si>
    <t>biblioteca pública</t>
  </si>
  <si>
    <t xml:space="preserve">—Sí. D’una manera força nua. </t>
  </si>
  <si>
    <t>nua</t>
  </si>
  <si>
    <t>Ell mirà els cabells de lli lluents de la Sally, inclinats de nou damunt del llibre</t>
  </si>
  <si>
    <t>els cabells de lli lluent de la Sally</t>
  </si>
  <si>
    <t xml:space="preserve">Encara era jove, encara estudiant, però un any més gran que ella, i trobava commovedores les seves sofisticacions ingènues. </t>
  </si>
  <si>
    <t>sofisticacions ingènues</t>
  </si>
  <si>
    <t>commovedores</t>
  </si>
  <si>
    <t>Era com si els processos mentals que s’amagaven sota aquella caputxa de seda fossin tan polits, tan ben ordenats, tan infantilment pentinats i nets.</t>
  </si>
  <si>
    <t>aquella caputxa de seda</t>
  </si>
  <si>
    <t>tan… tan… tan…</t>
  </si>
  <si>
    <t>ben ordenats</t>
  </si>
  <si>
    <t>tan infantilment pentinats i nets</t>
  </si>
  <si>
    <t>Es va adonar que la Sally havia aixecat el cap del llibre i anava a dir alguna cosa.</t>
  </si>
  <si>
    <t xml:space="preserve">havia aixecat el cap </t>
  </si>
  <si>
    <t>—Per a les prostitutes, l’assassinat és un risc laboral.</t>
  </si>
  <si>
    <t xml:space="preserve">l’assassinat </t>
  </si>
  <si>
    <t xml:space="preserve">—Hm... —va fer ell, concentrat a no perdre el fil dels seus càlculs. </t>
  </si>
  <si>
    <t xml:space="preserve">concentrat a no perdre el fil </t>
  </si>
  <si>
    <t>Hi estava tan absort que, quan la Sally va tornar a parlar, el va agafar per sorpresa.</t>
  </si>
  <si>
    <t>Hi estava tan absort que</t>
  </si>
  <si>
    <t>quan la Sally va tornar a parlar</t>
  </si>
  <si>
    <t>el va agafar per sorpresa</t>
  </si>
  <si>
    <t>—I per a les dones casades també... però potser no tant.</t>
  </si>
  <si>
    <t>no tant</t>
  </si>
  <si>
    <t>Donant-li la raó per dins, en Willie preguntà:</t>
  </si>
  <si>
    <t>Donant-li la raó per dins</t>
  </si>
  <si>
    <t>—Es pot saber què diantre llegeixes, ara?</t>
  </si>
  <si>
    <t xml:space="preserve">què diantre </t>
  </si>
  <si>
    <t>El vaig agafar de la biblioteca.</t>
  </si>
  <si>
    <t xml:space="preserve">El vaig agafar </t>
  </si>
  <si>
    <t>—Sí. Va per feina, per això.</t>
  </si>
  <si>
    <t>Va per feina, per això</t>
  </si>
  <si>
    <t>—Sona fascinant.</t>
  </si>
  <si>
    <t>fascinant</t>
  </si>
  <si>
    <t>Cosa que està molt bé, esclar.</t>
  </si>
  <si>
    <t>Cosa que està molt bé, esclar</t>
  </si>
  <si>
    <t xml:space="preserve">Va contemplar la cabellera de la Sally, sedosa i rossa com fils d’or, ara de nou acotada sobre el llibre. </t>
  </si>
  <si>
    <t>la cabellera de la Sally, sedosa i rossa com fils d’or</t>
  </si>
  <si>
    <t>Tot i que ell encara era jove, encara era estudiant, també era un any més gran que ella, i aquella lògica tan fresca i directa li arribava al cor</t>
  </si>
  <si>
    <t xml:space="preserve">aquella lògica tan fresca i directa </t>
  </si>
  <si>
    <t>li arribava al cor</t>
  </si>
  <si>
    <t>Era com si els processos mentals amagats sota aquella caputxa de fils de seda fossin tan suaus com la cabellera, tan ben posats, tan nets i clenxinats com els d’una criatura.</t>
  </si>
  <si>
    <t xml:space="preserve">aquella caputxa de fils de seda </t>
  </si>
  <si>
    <t>tan… tan… tan</t>
  </si>
  <si>
    <t>suaus</t>
  </si>
  <si>
    <t>tan ben posats</t>
  </si>
  <si>
    <t>nets i clenxinats com els d’una criatura</t>
  </si>
  <si>
    <t>Poem</t>
  </si>
  <si>
    <t xml:space="preserve">The day is fresh-washed and fair, and there is a smell of tulips and narcissus in the air. </t>
  </si>
  <si>
    <t>Fa un dia clar i immaculat, i flaire de tulipa i de narcís a l’aire.</t>
  </si>
  <si>
    <t>fresh-washed</t>
  </si>
  <si>
    <t>clar</t>
  </si>
  <si>
    <t>fair</t>
  </si>
  <si>
    <t>immaculat</t>
  </si>
  <si>
    <t>fair … air</t>
  </si>
  <si>
    <t>flaire … l'aire</t>
  </si>
  <si>
    <t>there is a smell … in the air</t>
  </si>
  <si>
    <t xml:space="preserve"> i flaire ... a l’aire.</t>
  </si>
  <si>
    <t xml:space="preserve">The sunshine pours in at the bath-room window and bores through the water in the bath-tub in lathes and planes of greenish-white. </t>
  </si>
  <si>
    <t>El sol entra a raig per la finestra del lavabo i perfora l’aigua en làmines i volutes d’un blanc verdós</t>
  </si>
  <si>
    <t>pours</t>
  </si>
  <si>
    <t>a raig</t>
  </si>
  <si>
    <t>bores through</t>
  </si>
  <si>
    <t>perfora</t>
  </si>
  <si>
    <t>lathes</t>
  </si>
  <si>
    <t>làmines</t>
  </si>
  <si>
    <t>lathes and planes</t>
  </si>
  <si>
    <t>làmines i volutes</t>
  </si>
  <si>
    <t xml:space="preserve">It cleaves the water into flaws like a jewel, and cracks it to bright light. </t>
  </si>
  <si>
    <t>L’esquerda com si fos un brillant, i la clivella en centelles de llum.</t>
  </si>
  <si>
    <t>cleaves</t>
  </si>
  <si>
    <t>l'esquerda</t>
  </si>
  <si>
    <t>flaws</t>
  </si>
  <si>
    <t>cracks it to</t>
  </si>
  <si>
    <t>clivella</t>
  </si>
  <si>
    <t>bright light</t>
  </si>
  <si>
    <t>centelles de llum</t>
  </si>
  <si>
    <t xml:space="preserve">Little spots of sunshine lie on the surface of the water and dance, dance, and their reflections wobble deliciously over the ceiling; </t>
  </si>
  <si>
    <t xml:space="preserve">Tot de volves menudes de sol  van ballant ballant damunt de l’aigua, i capcinegen delitosament reflectides al sostre; </t>
  </si>
  <si>
    <t>little spots of sunshine</t>
  </si>
  <si>
    <t>tot de volves menudes de sol</t>
  </si>
  <si>
    <t>wobble deliciously</t>
  </si>
  <si>
    <t>capcinegen delitosament</t>
  </si>
  <si>
    <t xml:space="preserve">a stir of my finger sets them whirring, reeling.  </t>
  </si>
  <si>
    <t>amb un lleu moviment del dit les faig girar i s’arremolinen</t>
  </si>
  <si>
    <t>whirring</t>
  </si>
  <si>
    <t>les faig girar</t>
  </si>
  <si>
    <t>reeling</t>
  </si>
  <si>
    <t>s'arremolinen</t>
  </si>
  <si>
    <t xml:space="preserve">I move a foot and the planes of light in the water jar.  </t>
  </si>
  <si>
    <t xml:space="preserve">Moc un peu i les làmines de llum entrexoquen sota l’aigua. </t>
  </si>
  <si>
    <t>planes of light</t>
  </si>
  <si>
    <t>làmines de llum</t>
  </si>
  <si>
    <t>jar</t>
  </si>
  <si>
    <t>entrexoquen</t>
  </si>
  <si>
    <t xml:space="preserve">I lie back and laugh, and let the green-white water, the sun-flawed beryl water, flow over me. </t>
  </si>
  <si>
    <t>M’ajec i ric, i deixo que aquesta aigua verdiblanca, l’aigua de brillant o de maragda esquerdada de sol, m’inundi tota per sobre.</t>
  </si>
  <si>
    <t>sun-flawed</t>
  </si>
  <si>
    <t>esquerdada de sol</t>
  </si>
  <si>
    <t>beryl water</t>
  </si>
  <si>
    <t>l'aigua de brillant o de maragda</t>
  </si>
  <si>
    <t xml:space="preserve">The day is almost too bright to bear, the green water covers me from the too bright day.  </t>
  </si>
  <si>
    <t xml:space="preserve">Fa un dia tan radiant que costa d’aguantar, l’aigua verda em protegeix d’un dia massa lluminós. </t>
  </si>
  <si>
    <t>too bright to bear</t>
  </si>
  <si>
    <t>tan radiant que costa d'aguantar</t>
  </si>
  <si>
    <t>covers</t>
  </si>
  <si>
    <t>em protegeix</t>
  </si>
  <si>
    <t xml:space="preserve">I will lie here awhile and play with the water and the sun spots.   </t>
  </si>
  <si>
    <t xml:space="preserve">M’estaré aquí una estona jugant amb l’aigua i les volvetes de sol. </t>
  </si>
  <si>
    <t>the sun spots</t>
  </si>
  <si>
    <t>volvetes de sol</t>
  </si>
  <si>
    <t xml:space="preserve">A crow flaps by the window, and there is a whiff of tulips and narcissus in the air.  </t>
  </si>
  <si>
    <t>Una gralla bat les ales davant de la finestra, i se sent el fil d’olor de tulipes i narcisos.</t>
  </si>
  <si>
    <t>flaps</t>
  </si>
  <si>
    <t>bat les ales</t>
  </si>
  <si>
    <t>El dia és rentat de nou i clar, i l’aire fa olor de tulipes i narcisos.</t>
  </si>
  <si>
    <t>rentat de nou</t>
  </si>
  <si>
    <t xml:space="preserve"> i l’aire fa olor…</t>
  </si>
  <si>
    <t xml:space="preserve">La claror del sol entra a raig per la finestra del bany i forada l’aigua de la banyera en làmines i plans de blanc verdós. </t>
  </si>
  <si>
    <t>forada</t>
  </si>
  <si>
    <t>làmines i plans</t>
  </si>
  <si>
    <t>L’esberla com un joiell, la clivella i la fa esclatar en llum viva.</t>
  </si>
  <si>
    <t>l'esberla</t>
  </si>
  <si>
    <t>llum viva</t>
  </si>
  <si>
    <t xml:space="preserve">Pètals menuts de sol reposen a la superfície de l’aigua i ballen, ballen, i els seus reflexos tremolen delitós al sostre; </t>
  </si>
  <si>
    <t>pètals menuts de sol</t>
  </si>
  <si>
    <t>tremolen delitós</t>
  </si>
  <si>
    <t xml:space="preserve">amb el lleu moviment d’un dit els faig giravoltar, vacil·lar. </t>
  </si>
  <si>
    <t>els faig giravoltar</t>
  </si>
  <si>
    <t>vacil·lar</t>
  </si>
  <si>
    <t xml:space="preserve">Moure un peu i els plans de llum dins l’aigua trontollen. </t>
  </si>
  <si>
    <t>plans de llum</t>
  </si>
  <si>
    <t>trontollen</t>
  </si>
  <si>
    <t>Em deixo caure enrere i ric, i deixo que l’aigua verdiblanca, l’aigua d’esmaragda esberlada de sol, em llisqui pel damunt.</t>
  </si>
  <si>
    <t>esberlada de sol</t>
  </si>
  <si>
    <t>l'aigua d'esmaragda</t>
  </si>
  <si>
    <t xml:space="preserve">El dia és gairebé massa radiant per suportar, l’aigua verda m’amaga de l’excés de llum. </t>
  </si>
  <si>
    <t>gairebé massa radiant per suportar</t>
  </si>
  <si>
    <t>m'amaga</t>
  </si>
  <si>
    <t xml:space="preserve">Restaré aquí una estona, jugant amb l’aigua i amb les taques de sol. </t>
  </si>
  <si>
    <t>taques de sol</t>
  </si>
  <si>
    <t>Una gralla fueteja l’aire davant la finestra, i encara arriba una flaire de tulipes i narcisos.</t>
  </si>
  <si>
    <t>fueteja l'aire</t>
  </si>
  <si>
    <t xml:space="preserve">El dia és fresc i radiant, i la tulipa i el narcís omplen l’aire fragant. </t>
  </si>
  <si>
    <t xml:space="preserve">fresc </t>
  </si>
  <si>
    <t>radiant</t>
  </si>
  <si>
    <t>radiant… fragrant</t>
  </si>
  <si>
    <t xml:space="preserve">(i la tulipa i el narcís) omplen l’aire fragant. </t>
  </si>
  <si>
    <t xml:space="preserve">El sol entra a doll per la finestra del bany i s’obre pas per la banyera tallant-hi sanefes d’un blanc verdós. </t>
  </si>
  <si>
    <t>a doll</t>
  </si>
  <si>
    <t>s'obre pas</t>
  </si>
  <si>
    <t>sanefes</t>
  </si>
  <si>
    <t>Solca l’aigua amb les imperfeccions d’una joia i hi obre esquerdes d’un fulgor esplendorós.</t>
  </si>
  <si>
    <t>solca</t>
  </si>
  <si>
    <t>imperfeccions</t>
  </si>
  <si>
    <t>hi obri esquerdes</t>
  </si>
  <si>
    <t>fulgor esplendorós</t>
  </si>
  <si>
    <t>Hi ha tot de centelles surant sobre l’aigua, i ballen i ballen, reflectides al sostre amb un balanceig deliciós;</t>
  </si>
  <si>
    <t>tot de centelles</t>
  </si>
  <si>
    <t>balanceig deliciós</t>
  </si>
  <si>
    <t xml:space="preserve">d’un gest del meu dit el ball es torna titil·lant, tremolós. </t>
  </si>
  <si>
    <t>titil·lant</t>
  </si>
  <si>
    <t>tremolós</t>
  </si>
  <si>
    <t xml:space="preserve">Moc el peu i les sanefes de llum trontollen. </t>
  </si>
  <si>
    <t>sanefes de llum</t>
  </si>
  <si>
    <t>M’estiro i ric, i deixo fluir sobre meu l’aigua blanca i verdosa, l’aigua de beril macat de sol.</t>
  </si>
  <si>
    <t>marcat de sol</t>
  </si>
  <si>
    <t>l'aigua de beril</t>
  </si>
  <si>
    <t xml:space="preserve">El dia enlluerna de tan radiant, l’aigua verda em tapa d’aquesta llum tan fulgurant.  </t>
  </si>
  <si>
    <t>enlluerna de tan radiant</t>
  </si>
  <si>
    <t>em tapa</t>
  </si>
  <si>
    <t>M’estaré aquí una estona, jugant amb l’aigua i el sol centellejant.</t>
  </si>
  <si>
    <t>el sol centellejant</t>
  </si>
  <si>
    <t>Passa un corb esbategant les ales, i hi ha una flaire de tulipa i narcís a l’aire.</t>
  </si>
  <si>
    <t>passa esbategant les ales</t>
  </si>
  <si>
    <t>Твой дом, не ведая беды,</t>
  </si>
  <si>
    <t>Jouw huis, waar pijn ondenkbaar was,</t>
  </si>
  <si>
    <t>дом, не ведая беды</t>
  </si>
  <si>
    <t>waar pijn ondenkbaar was</t>
  </si>
  <si>
    <t>меня встречал и в щеку чмокал.</t>
  </si>
  <si>
    <t>begroette mij gastvrij en blij --</t>
  </si>
  <si>
    <t>встречал и ... чмокал</t>
  </si>
  <si>
    <t>begroette mij</t>
  </si>
  <si>
    <t>чмокал</t>
  </si>
  <si>
    <t>gastvrij en blij</t>
  </si>
  <si>
    <t>Как будто рыба из воды, сервиз выглядывал из стекол.</t>
  </si>
  <si>
    <t>als glaswerk achter vensterglas, als vanuit zee, bekeek het mij.</t>
  </si>
  <si>
    <t>Как будто рыба из воды</t>
  </si>
  <si>
    <t>als vanuit zee</t>
  </si>
  <si>
    <t>сервиз выглядывал</t>
  </si>
  <si>
    <t>glaswerk … bekeek</t>
  </si>
  <si>
    <t>из стекол</t>
  </si>
  <si>
    <t>vensterglas</t>
  </si>
  <si>
    <t>И пес выскакивал ко мне, как галка маленький, орущий,</t>
  </si>
  <si>
    <t>Een hondje, keffend als een kraai, sprong me uitbundig tegemoet –</t>
  </si>
  <si>
    <t>пес выскакивал</t>
  </si>
  <si>
    <t>(…) sprong me uitbundig tegemoet</t>
  </si>
  <si>
    <t>как галка маленький</t>
  </si>
  <si>
    <t>keffend als een kraai</t>
  </si>
  <si>
    <t>орущий</t>
  </si>
  <si>
    <t xml:space="preserve">keffend </t>
  </si>
  <si>
    <t>и в беззащитном всеоружьи, торчали кактусы в окне.</t>
  </si>
  <si>
    <t>en in het raam, weerloos en fraai, cacteeën in een stoere stoet.</t>
  </si>
  <si>
    <t>и в беззащитном всеоружьи</t>
  </si>
  <si>
    <t>weerloos … stoere stoet</t>
  </si>
  <si>
    <t>торчали кактусы</t>
  </si>
  <si>
    <t>in het raam … cacteeën</t>
  </si>
  <si>
    <t>От неурядиц всей земли</t>
  </si>
  <si>
    <t>Uit ’s werelds chaos opgericht,</t>
  </si>
  <si>
    <t>неурядиц всей земли</t>
  </si>
  <si>
    <t>uit 's wereldschaos</t>
  </si>
  <si>
    <t>я шла озябшим делегатом,</t>
  </si>
  <si>
    <t>ijskoud, kwam ik als delegaat</t>
  </si>
  <si>
    <t>озябшим делегатом</t>
  </si>
  <si>
    <t>ijskoud, als delegaat</t>
  </si>
  <si>
    <t>и дом смотрел в глаза мои</t>
  </si>
  <si>
    <t>van ver tot voor zijn aangezicht –</t>
  </si>
  <si>
    <t>дом смотрел</t>
  </si>
  <si>
    <t>zijn aangezicht</t>
  </si>
  <si>
    <t>глаза мои</t>
  </si>
  <si>
    <t>и добрым был и деликатным.</t>
  </si>
  <si>
    <t>het was zo goed, zo delicaat.</t>
  </si>
  <si>
    <t>добрым был</t>
  </si>
  <si>
    <t>goed</t>
  </si>
  <si>
    <t>дом...добрым и деликатным</t>
  </si>
  <si>
    <t>zo goed, zo delicaat</t>
  </si>
  <si>
    <t>он не навлек, себя не выдал.</t>
  </si>
  <si>
    <t>gesmaad en van haar eer beroofd</t>
  </si>
  <si>
    <t>стыда...не навлек</t>
  </si>
  <si>
    <t>себя не выдал</t>
  </si>
  <si>
    <t>in stilte</t>
  </si>
  <si>
    <t>Дом клялся мне, что никогда</t>
  </si>
  <si>
    <t>of zelfs gezien: ik deed getrouw</t>
  </si>
  <si>
    <t>дом клялся</t>
  </si>
  <si>
    <t>zwoer het</t>
  </si>
  <si>
    <t>он этой женщины не видел.</t>
  </si>
  <si>
    <t>wat ik in stilte had beloofd.'</t>
  </si>
  <si>
    <t>этой женщины не видел</t>
  </si>
  <si>
    <t>of zelfs gezien</t>
  </si>
  <si>
    <t>Он говорил: — Я пуст, Я пуст. —</t>
  </si>
  <si>
    <t>Het zei: ‘Ik ben zo leeg, zo leeg.’</t>
  </si>
  <si>
    <t>я пуст, я пуст</t>
  </si>
  <si>
    <t>ik ben zo leeg, zo leeg</t>
  </si>
  <si>
    <t>Я говорила: — Где-то, где-то… —</t>
  </si>
  <si>
    <t>Ik zei: ‘Maar ergens, iets...’ Toen deed</t>
  </si>
  <si>
    <t>Где-то, где-то</t>
  </si>
  <si>
    <t>Maar ergens, iets</t>
  </si>
  <si>
    <t>Он говорил: — И пусть. И пусть.</t>
  </si>
  <si>
    <t>ik wat het vroeg: ik zweeg.</t>
  </si>
  <si>
    <t>и пусть и пусть</t>
  </si>
  <si>
    <t>Toen deed ik wat het vroeg</t>
  </si>
  <si>
    <t>Входи и позабудь про это.</t>
  </si>
  <si>
    <t>‘Vergeet, vergeet wat is geweest!’</t>
  </si>
  <si>
    <t>позабудь</t>
  </si>
  <si>
    <t>vergeet, vergeet wat is geweest</t>
  </si>
  <si>
    <t>Russian</t>
  </si>
  <si>
    <t>Dutch</t>
  </si>
  <si>
    <t>Je huis, onwetend van verdriet,</t>
  </si>
  <si>
    <t>onwetend van verdriet</t>
  </si>
  <si>
    <t>ontving mij zacht, een wangkus liet.</t>
  </si>
  <si>
    <t>ontving mij zacht</t>
  </si>
  <si>
    <t>een wangkus</t>
  </si>
  <si>
    <t>Как будто рыба из воды,</t>
  </si>
  <si>
    <t>Als vis die plots uit water schiet,</t>
  </si>
  <si>
    <t>als vis die plots uit het water schiet</t>
  </si>
  <si>
    <t>сервиз выглядывал из стекол.</t>
  </si>
  <si>
    <t>glansde het servies door 't ruitgebied.</t>
  </si>
  <si>
    <t>glansde het servies</t>
  </si>
  <si>
    <t>t ruitgebied</t>
  </si>
  <si>
    <t>И пес выскакивал ко мне,</t>
  </si>
  <si>
    <t>De hond sprong op me af zo blij,</t>
  </si>
  <si>
    <t>de hond sprong op me af</t>
  </si>
  <si>
    <t>как галка маленький, орущий,</t>
  </si>
  <si>
    <t>als kauwtje, schril en driftig vrij,</t>
  </si>
  <si>
    <t>als kauwtje</t>
  </si>
  <si>
    <t>schril en driftig vrij</t>
  </si>
  <si>
    <t>en weerloos, maar in wapenrust,</t>
  </si>
  <si>
    <t>weerloos, maar in wapenrust</t>
  </si>
  <si>
    <t>торчали кактусы в окне.</t>
  </si>
  <si>
    <t>stond in het raam de cactus, bewust.</t>
  </si>
  <si>
    <t>stond in het raam de cactus</t>
  </si>
  <si>
    <t>Van wereldleed, van ramp en strijd</t>
  </si>
  <si>
    <t>van wereldleed, van ramp en strijd</t>
  </si>
  <si>
    <t>kwam ik, een afgekoelde gezant,</t>
  </si>
  <si>
    <t>afgekoelde gezant</t>
  </si>
  <si>
    <t>en 't huis keek diep mijn ogen in,</t>
  </si>
  <si>
    <t>t't huis keek in mijn ogen</t>
  </si>
  <si>
    <t>diep de ogen in</t>
  </si>
  <si>
    <t>was vriendelijk, was elegant.</t>
  </si>
  <si>
    <t>vriendelijk</t>
  </si>
  <si>
    <t>het was vriendelijk, was elegant</t>
  </si>
  <si>
    <t>het zweeg, zijn trouw was ongekloofd.</t>
  </si>
  <si>
    <t>geen schande wierp het op mijn hoofd</t>
  </si>
  <si>
    <t>het zweeg</t>
  </si>
  <si>
    <t>Het zwoer mij: "nooit, bij licht of nacht,</t>
  </si>
  <si>
    <t>het zwoer mij</t>
  </si>
  <si>
    <t>heb ik die vrouw ooit gezien, gedacht."</t>
  </si>
  <si>
    <t>nooit, bij licht of nacht, heb ik die vrouw ooit gezien</t>
  </si>
  <si>
    <t>Het zei: "Ik leeg. Ik leeg. Ik leeg"</t>
  </si>
  <si>
    <t>Ik leeg. Ik leeg. Ik leeg</t>
  </si>
  <si>
    <t>Ik zei: "Ergens… misschien, misschien…"</t>
  </si>
  <si>
    <t>Ergens, misschien, misschien</t>
  </si>
  <si>
    <t>Het zei: "En laat het dan maar zo.</t>
  </si>
  <si>
    <t>en laat het dan maar zo</t>
  </si>
  <si>
    <t>Kom binnen, vergeet wat was, en leef."</t>
  </si>
  <si>
    <t>vergeet wat was</t>
  </si>
  <si>
    <t>Jouw huis, zich nergens van bewust,</t>
  </si>
  <si>
    <t>zich nergens van bewust</t>
  </si>
  <si>
    <t>gaf mij bij binnenkomst een kus,</t>
  </si>
  <si>
    <t>gaf me bij binnenkomt</t>
  </si>
  <si>
    <t>kus</t>
  </si>
  <si>
    <t>en het serviesgoed keek naar buiten</t>
  </si>
  <si>
    <t>als een goudvis door de ruiten</t>
  </si>
  <si>
    <t>als een goudvis door de ruiten.</t>
  </si>
  <si>
    <t xml:space="preserve">het serviesgoed keek </t>
  </si>
  <si>
    <t>door de ruiten</t>
  </si>
  <si>
    <t>Een hond kwispelde trouw,</t>
  </si>
  <si>
    <t>een hond kwispelde</t>
  </si>
  <si>
    <t>ergens krijste er een kauw,</t>
  </si>
  <si>
    <t>ergens krijste er een kauw</t>
  </si>
  <si>
    <t>krijste</t>
  </si>
  <si>
    <t>en in weerloosheid paraat</t>
  </si>
  <si>
    <t>in weerloosheid paraat</t>
  </si>
  <si>
    <t>flankeerden cactussen de straat.</t>
  </si>
  <si>
    <t>flankeerde cactussen</t>
  </si>
  <si>
    <t>Ik was van onmin de gezant,</t>
  </si>
  <si>
    <t>van onmin</t>
  </si>
  <si>
    <t>de kleumende representant:</t>
  </si>
  <si>
    <t>verkleumende representant</t>
  </si>
  <si>
    <t>het huis toen keek mij in de ogen,</t>
  </si>
  <si>
    <t>het huis keek mij in de ogen</t>
  </si>
  <si>
    <t>in de ogen</t>
  </si>
  <si>
    <t>tactvol, vriendelijk, vol mededogen</t>
  </si>
  <si>
    <t>ze liet niets merken, geen verwijt</t>
  </si>
  <si>
    <t>Geen schande en geen bitterheid:</t>
  </si>
  <si>
    <t>ze liet niets merken</t>
  </si>
  <si>
    <t>of dat hij haar van vroeger kende,</t>
  </si>
  <si>
    <t>geen verwijt</t>
  </si>
  <si>
    <t>deze geenszins onbekende.</t>
  </si>
  <si>
    <t>of dat hij haar van vroeger kende</t>
  </si>
  <si>
    <t>Het huis zei: 'Leeg, ik ben leeg.'</t>
  </si>
  <si>
    <t>Leeg, ik ben leeg</t>
  </si>
  <si>
    <t>Ik zei: 'Maar toch…' en zweeg.</t>
  </si>
  <si>
    <t>Maar toch</t>
  </si>
  <si>
    <t>Het huis zei: 'Ik weet het, ik weet het,</t>
  </si>
  <si>
    <t>ik weet het, ik weet het</t>
  </si>
  <si>
    <t xml:space="preserve">maar kom binnen en vergeet het.' </t>
  </si>
  <si>
    <t>vergeet het</t>
  </si>
  <si>
    <t xml:space="preserve">Яша Хейн проснулся затемно — гораздо раньше, чем прозвонил будильник, — от странной тишины, заполнявшей его изнутри. </t>
  </si>
  <si>
    <t>Jasja Chejn werd nog voor zonsopgang wakker – veel eerder dan de wekker afging – door een merkwaardige stilte binnenin hem.</t>
  </si>
  <si>
    <t>затемно</t>
  </si>
  <si>
    <t>voor zonsopgang</t>
  </si>
  <si>
    <t xml:space="preserve">Ныли все cуставы и мышцы, болела голова, то и дело накатывала ужасная слабость. </t>
  </si>
  <si>
    <t xml:space="preserve">Hij werd geplaagd door al zijn gewrichten en spieren, hij had hoofdpijn, en hij werd voortdurend door een verschrikkelijke slapte overspoeld. </t>
  </si>
  <si>
    <t>Ныли все cуставы и мышцы</t>
  </si>
  <si>
    <t>hij werd geplaagd door al zin gewrichten en spieren</t>
  </si>
  <si>
    <t>накатывала ...слабость</t>
  </si>
  <si>
    <t>hij werd voortdurend door een verschrikkelijke slapte overspoeld</t>
  </si>
  <si>
    <t>На ночь Яша выпил две шипучих упсы, на всякий случай закапал нос нафтизином,  хотя насморка пока не было,</t>
  </si>
  <si>
    <t>Voor het naar bed gaan had Jasja twee bruistabletten genomen, voor de zekerheid zijn neus gedruppeld met Naftizine, hoewel hij niet verkouden was,</t>
  </si>
  <si>
    <t>шипучих упсы</t>
  </si>
  <si>
    <t>twee bruistabletten</t>
  </si>
  <si>
    <t>закапал нос нафтизином,</t>
  </si>
  <si>
    <t>neus gedruppeld met naftizine</t>
  </si>
  <si>
    <t xml:space="preserve">и попросил жену нарисовать ему на груди и спине сеточки из йода — чтобы не начался кашель. </t>
  </si>
  <si>
    <t>en hij had zijn vrouw gevraagd om jodiumarceringen op zijn borst en rug te tekenen – zodat hij niet zou gaan hoesten.</t>
  </si>
  <si>
    <t xml:space="preserve">сеточки из йода </t>
  </si>
  <si>
    <t>jodiumarcering</t>
  </si>
  <si>
    <t>Его грудь и живот — да что там грудь и живот, все тело — словно были наполнены застывшей сладкой ватой</t>
  </si>
  <si>
    <t>Het was of borst en buik – oké, zijn hele lichaam – propvol gestolde zoete suikerspin zat.</t>
  </si>
  <si>
    <t>Его грудь и живот — да что там грудь и живот</t>
  </si>
  <si>
    <t>Het was of borst en buik -- oké, zijn hele lichaam</t>
  </si>
  <si>
    <t xml:space="preserve"> Эта странная тишина</t>
  </si>
  <si>
    <t xml:space="preserve"> Die merkwaardige stilte</t>
  </si>
  <si>
    <t>тишина, эта странная тишина</t>
  </si>
  <si>
    <t xml:space="preserve">die merkwaardige stilte </t>
  </si>
  <si>
    <t xml:space="preserve">Что-то в нем явно разладилось, и разладилось всерьез. </t>
  </si>
  <si>
    <t xml:space="preserve">Er was duidelijk iets defect van binnen, en niet zo’n klein beetje ook. </t>
  </si>
  <si>
    <t>Что-то в нем явно разладилось</t>
  </si>
  <si>
    <t>er was duidelijk iets defect van binnen</t>
  </si>
  <si>
    <t>разладилось, и разладилось</t>
  </si>
  <si>
    <t>en niet zo'n klein beetje ook</t>
  </si>
  <si>
    <t>Теперь нужно было найти ту сломавшуюся шестеренку, которая мешала всему сложному порой барахлившему, но все же относительно слаженному механизму Яшиного тридцатипятилетнего тела нормально работать</t>
  </si>
  <si>
    <t xml:space="preserve"> Het was zaak het kapotte tandwieltje te vinden dat verantwoordelijk was voor de verstoring van het complexe, soms haperende maar over het algemeen goed functionerende mechanisme van zijn vijfendertigjarige lichaam</t>
  </si>
  <si>
    <t>сложному порой барахлившему, но все же относительно слаженному механизму Яшиного тридцатипятилетнего тела</t>
  </si>
  <si>
    <t>de verstoring van het complexe, soms haperende, maar over het algemeen goed functionerende mechanisme van zijn vijfendertigjarige lichaam verstoorde</t>
  </si>
  <si>
    <t>найти и устранить неполадку медикаментозными средствами.</t>
  </si>
  <si>
    <t>– de verstoring te vinden en het met medicamentaire middelen weg te nemen.</t>
  </si>
  <si>
    <t>устранить неполадку медикаментозными средствами</t>
  </si>
  <si>
    <t>de verstoring … en het met medicamentaire middelen weg te nemen</t>
  </si>
  <si>
    <t xml:space="preserve">Yasha Hein werd wakker vóór zonsopgang—veel eerder dan zijn wekker afging—door een vreemde stilte die hem van binnen vulde. </t>
  </si>
  <si>
    <t>vóór zonsopgang</t>
  </si>
  <si>
    <t xml:space="preserve">Al zijn gewrichten en spieren deden pijn, zijn hoofd bonsde, en er kwamen steeds golven van verschrikkelijke zwakte over hem heen. </t>
  </si>
  <si>
    <t>al zijn gewrichten en spieren deden pijn</t>
  </si>
  <si>
    <t>golven van verschikkelijke zwakte over hem heen</t>
  </si>
  <si>
    <t xml:space="preserve">De avond ervoor had Yasha twee bruistabletten ingenomen, uit voorzorg neusdruppels met nafazoline gebruikt, hoewel hij nog geen loopneus had, </t>
  </si>
  <si>
    <t>neusdruppels met nafazoline</t>
  </si>
  <si>
    <t>en zijn vrouw gevraagd om jodiumroosters op zijn borst en rug te tekenen—om hoest te voorkomen.</t>
  </si>
  <si>
    <t>jodiumrooster</t>
  </si>
  <si>
    <t>Его грудь и живот — да что там грудь и живот, все тело — словно были наполнены застывшей сладкой ватой.</t>
  </si>
  <si>
    <t xml:space="preserve">Zijn borst en buik—of beter gezegd, zijn hele lichaam—voelden alsof ze gevuld waren met gestolde zoete suikerspin.  </t>
  </si>
  <si>
    <t>zijn borst en buik --of beter gezegd, zijn hele lichaam</t>
  </si>
  <si>
    <t>Die vreemde stilte</t>
  </si>
  <si>
    <t>die vreemde stilte</t>
  </si>
  <si>
    <t xml:space="preserve">Er was duidelijk iets mis in hem, en niet zo’n beetje ook.  </t>
  </si>
  <si>
    <t>er was duidelijk iets mis in hem</t>
  </si>
  <si>
    <t xml:space="preserve">en niet zo'n beetje ook </t>
  </si>
  <si>
    <t>Hij moest nu het kapotte tandwieltje vinden dat het complexe, soms haperende maar over het algemeen goed functionerende mechanisme van zijn vijfendertigjarige lichaam verstoorde</t>
  </si>
  <si>
    <t>het complexe, soms haperende, maar over het algemeen goed functionerende mechanisme van zijn vijfendertigjarige lichaam verstoorde</t>
  </si>
  <si>
    <t>—het vinden en met medicijnen herstellen.</t>
  </si>
  <si>
    <t>het vinden … met medicijnen herstellen</t>
  </si>
  <si>
    <t>Jasja Hein werd wakker toen het nog donker was – lang voordat de wekker afliep – van een vreemde stilte die hem van binnenuit vulde.</t>
  </si>
  <si>
    <t>toen het nog donker was</t>
  </si>
  <si>
    <t>Al zijn gewrichten en spieren deden pijn, zijn hoofd bonsde en steeds weer overviel hem een vreselijke zwakte.</t>
  </si>
  <si>
    <t>weer overveiwl hem een vreselijke ziekte</t>
  </si>
  <si>
    <t xml:space="preserve">Voor het slapengaan had hij twee paracetamol genomen, voor alle zekerheid druppels in zijn neus gedaan, ook al was hij nog niet verkouden, </t>
  </si>
  <si>
    <t>twee paracetamol</t>
  </si>
  <si>
    <t>druppels in zijn neus</t>
  </si>
  <si>
    <t>en zijn vrouw gevraagd om jodium op zijn borst en rug te smeren – om te voorkomen dat hij zou gaan hoesten.</t>
  </si>
  <si>
    <t>jodium</t>
  </si>
  <si>
    <t xml:space="preserve">Zijn borst en buik – nee, zijn hele lijf – leken wel gevuld met gestolde suikerspin. </t>
  </si>
  <si>
    <t>zijn borst en buik - nee, zijn hele liijf</t>
  </si>
  <si>
    <t>Die vreemde stilte.</t>
  </si>
  <si>
    <t>Er was duidelijk iets ontregeld daarbinnen, en behoorlijk ook.</t>
  </si>
  <si>
    <t>er was duidelijk iets ontregeld daarbinnen</t>
  </si>
  <si>
    <t>en behoorlijk ook</t>
  </si>
  <si>
    <t xml:space="preserve">Nu moest hij het kapotte radertje zien te vinden dat verhinderde dat het ingewikkelde, soms haperende, maar alles bij elkaar toch relatief goed werkende mechanisme van zijn vijfendertigjarige lichaam normaal functioneerde </t>
  </si>
  <si>
    <t xml:space="preserve">verhinderde dat het ingewikkelde, soms haperende, maar alles bij elkaar toch relatief goed werkende mechanisme van zijn vijfendertigjarige lichaam normaal functioneerde </t>
  </si>
  <si>
    <t>– hij moest het mankement vinden en het met medicamenteuze middelen verhelpen.</t>
  </si>
  <si>
    <t>het mankement … metmedicamenteuze middelen verhelpen</t>
  </si>
  <si>
    <t>Thriller</t>
  </si>
  <si>
    <t>Егор шел по переходу, все убыстряя и убыстряя шаг</t>
  </si>
  <si>
    <t xml:space="preserve">Jegor liep door de voetgangerstunnel, met steeds snellere pas. </t>
  </si>
  <si>
    <t>убыстряя и убыстряя</t>
  </si>
  <si>
    <t>zijn pas steeds sneller</t>
  </si>
  <si>
    <t xml:space="preserve">. Откуда-то лилась музыка, тихая, едва слышная, но удивительно приятная. </t>
  </si>
  <si>
    <t>Ergens klonk muziek, zacht, nauwelijks hoorbaar, maar wonderlijk aangenaam.</t>
  </si>
  <si>
    <t>лилась музыка</t>
  </si>
  <si>
    <t>ergens klonk muzeik</t>
  </si>
  <si>
    <t>тихая, едва слышная</t>
  </si>
  <si>
    <t>zacht, nauwelijke hoorbaar</t>
  </si>
  <si>
    <t xml:space="preserve">Тонкое пение флейты, шелест гитарных струн, перезвон ксилофона. </t>
  </si>
  <si>
    <t xml:space="preserve">De ijle klanken van een fluit, het gefluister van gitaarsnaren, het klingelen van een xylofoon. </t>
  </si>
  <si>
    <t>Тонкое пение флейты</t>
  </si>
  <si>
    <t>getinkel van een xylofoon</t>
  </si>
  <si>
    <t>шелест..струн</t>
  </si>
  <si>
    <t>een xylofoon rinkelde dromerig</t>
  </si>
  <si>
    <t>перезвон ксилофона</t>
  </si>
  <si>
    <t>het klingelen van een xylofoon</t>
  </si>
  <si>
    <t>Музыка звала, музыка торопила.</t>
  </si>
  <si>
    <t>De muziek riep. De muziek dreeft hem voort.</t>
  </si>
  <si>
    <t>музыка..музыка</t>
  </si>
  <si>
    <t>muziek. Muziek</t>
  </si>
  <si>
    <t>Из головы будто выдуло все мысли, он уже почти бежал.</t>
  </si>
  <si>
    <t>Het leek of alle gedachten uit zijn hoofd waren weggewaaid, hij rende al bijna.</t>
  </si>
  <si>
    <t>выдуло все мысли</t>
  </si>
  <si>
    <t>Het leek of alle gedachten uit zijn hoofd waren weggewaaid</t>
  </si>
  <si>
    <t>уже почти</t>
  </si>
  <si>
    <t>al bijna</t>
  </si>
  <si>
    <t xml:space="preserve">В нее уже вплетались слова... пока невнятные, слишком тихие, но такие манящие. </t>
  </si>
  <si>
    <t>Er mengden zich al woorden in... nog onsamenhangend, nog te zacht, maar o zo verleidelijk.</t>
  </si>
  <si>
    <t>вплетались слова</t>
  </si>
  <si>
    <t>mengden zich al woorden in</t>
  </si>
  <si>
    <t>невнятные, слишком тихие</t>
  </si>
  <si>
    <t>nog onsamenhangend, nog te zacht</t>
  </si>
  <si>
    <t xml:space="preserve">Мальчик выскочил из перехода, на миг остановился, глотая холодный воздух. </t>
  </si>
  <si>
    <t>De jongen kwam de tunnel uit geschoten, bleef even staan, hapte de koude lucht.</t>
  </si>
  <si>
    <t>глотая...воздух</t>
  </si>
  <si>
    <t>hapte de koude lucht</t>
  </si>
  <si>
    <t>Медленно, словно внезапно онемели ноги, мальчик пошел к троллейбусу</t>
  </si>
  <si>
    <t xml:space="preserve">Langzaam, alsof zijn benen ineens verlamd waren, liep de jongen naar de trolleybus. </t>
  </si>
  <si>
    <t>словно внезапно онемели ноги</t>
  </si>
  <si>
    <t>alsof zijn benen ineens verlamd waren</t>
  </si>
  <si>
    <t xml:space="preserve">Несколько секунд тот ждал с открытыми дверями, потом створки сошлись и машина отъехала от остановки. </t>
  </si>
  <si>
    <t>. Een paar seconden stond de trolleybus met open deuren te wachten, toen klapten ze toe en reed de bus weg van de halte.</t>
  </si>
  <si>
    <t>створки сошлись</t>
  </si>
  <si>
    <t>klapten ze toe</t>
  </si>
  <si>
    <t>. Егор тупо смотрел вслед,</t>
  </si>
  <si>
    <t xml:space="preserve">Jegor staarde de bus wezenloos na. </t>
  </si>
  <si>
    <t>тупо</t>
  </si>
  <si>
    <t>wezenloos</t>
  </si>
  <si>
    <t xml:space="preserve"> музыка становилась все громче, заполняла весь мир, от полукружия высотной гостиницы до видневшегося невдалеке «коробка на ножках» — его дома.</t>
  </si>
  <si>
    <t>De muziek werd luider, vulde de hele wereld, van de halfronde gevel van het hoge hotel tot – niet ver weg – het ‘doosje op poten’, zijn huis</t>
  </si>
  <si>
    <t>полукружия высотной гостиницы</t>
  </si>
  <si>
    <t>van de halfronde gevel van het hoge hotel</t>
  </si>
  <si>
    <t>«коробка на ножках»</t>
  </si>
  <si>
    <t>doosje op poten</t>
  </si>
  <si>
    <t xml:space="preserve">Jegor liep door de voetgangerstunnel, zijn pas steeds sneller. </t>
  </si>
  <si>
    <t>met steeds snellere pas</t>
  </si>
  <si>
    <t xml:space="preserve">Er klonk ergens muziek—zacht, nauwelijks hoorbaar, maar betoverend aangenaam. </t>
  </si>
  <si>
    <t>er klonk ergens muziek</t>
  </si>
  <si>
    <t>Een fluit zong ijl, gitaarsnaren fluisterden, een xylofoon rinkelde dromerig.</t>
  </si>
  <si>
    <t>getokkel van gitaarsnaren</t>
  </si>
  <si>
    <t>gitaarsnaren fluisterden</t>
  </si>
  <si>
    <t>het fluister van gitaarsnaren</t>
  </si>
  <si>
    <t>De muziek riep. De muziek dreef hem voort.</t>
  </si>
  <si>
    <t>muziek. Muzeik</t>
  </si>
  <si>
    <t>Zijn hoofd leek leeggewaaid—hij was bijna aan het rennen.</t>
  </si>
  <si>
    <t>zijn hoofd leek leeggewaaid</t>
  </si>
  <si>
    <t>bijna</t>
  </si>
  <si>
    <t>Er mengden zich woorden in... nog onsamenhangend, nog te stil om te verstaan, maar onweerstaanbaar verleidelijk.</t>
  </si>
  <si>
    <t>mengden zich woorden in</t>
  </si>
  <si>
    <t>nog onsamenhangend, nog te stil om te verstaan</t>
  </si>
  <si>
    <t xml:space="preserve">De jongen schoot de tunnel uit, bleef even staan, happend naar de koude lucht. </t>
  </si>
  <si>
    <t>happend naar de koude lucht</t>
  </si>
  <si>
    <t>RR</t>
  </si>
  <si>
    <t>Langzaam, alsof zijn benen ineens verlamd waren, liep hij ernaartoe.</t>
  </si>
  <si>
    <t>De bus wachtte secondenlang met open deuren, toen sloten de kleppen zich en reed hij weg.</t>
  </si>
  <si>
    <t>sloten de kleppen zich</t>
  </si>
  <si>
    <t>Егор тупо смотрел вслед,</t>
  </si>
  <si>
    <t xml:space="preserve">Jegor staarde er doelloos achteraan. </t>
  </si>
  <si>
    <t>doelloos</t>
  </si>
  <si>
    <t>De muziek zwol aan, vulde de wereld—van de gebogen gevel van het hoge hotel tot aan het "doosje op pootjes" in de verte—zijn huis.</t>
  </si>
  <si>
    <t>van de gebogen gevel van het hoge hotel</t>
  </si>
  <si>
    <t>doosje op pootjes</t>
  </si>
  <si>
    <t xml:space="preserve">Jegor liep door de voetgangerstunnel, steeds sneller en sneller. </t>
  </si>
  <si>
    <t>sneller en sneller</t>
  </si>
  <si>
    <t xml:space="preserve">Откуда-то лилась музыка, тихая, едва слышная, но удивительно приятная. </t>
  </si>
  <si>
    <t xml:space="preserve">Ergens vandaan klonk muziek, zacht, nauwelijks hoorbaar, maar verbazingwekkend mooi. </t>
  </si>
  <si>
    <t>klonk muziek</t>
  </si>
  <si>
    <t xml:space="preserve">De ijle tonen van een fluit, getokkel van gitaarsnaren, getinkel van een xylofoon. </t>
  </si>
  <si>
    <t>De ijle tonen van een fluit</t>
  </si>
  <si>
    <t>een fluit zong ijl</t>
  </si>
  <si>
    <t>De ijle klanken van een fluit</t>
  </si>
  <si>
    <t xml:space="preserve">De muziek lonkte, maande tot haast. </t>
  </si>
  <si>
    <t>muziek, (O)</t>
  </si>
  <si>
    <t>Het was alsof alle gedachten uit zijn hoofd waren weggeblazen, hij rende al bijna.</t>
  </si>
  <si>
    <t>het was alsof alle gedachten uit zijn hoofd waren weggeblazen</t>
  </si>
  <si>
    <t>Er begonnen zich al woorden in te verweven… nog onverstaanbaar, te zacht, maar zo verleidelijk.</t>
  </si>
  <si>
    <t>woorden in te verweven</t>
  </si>
  <si>
    <t>nog overstaanbaar, te zacht</t>
  </si>
  <si>
    <t>De jongen schoot de tunnel uit, bleef een ogenblik stilstaan en zoog gretig de koude lucht op.</t>
  </si>
  <si>
    <t>zoog gretig de koude lucht op</t>
  </si>
  <si>
    <t>Langzaam, alsof zijn benen sliepen, begon de jongen naar de bus te lopen.</t>
  </si>
  <si>
    <t>alsof zijn benen sliepen</t>
  </si>
  <si>
    <t xml:space="preserve">Die bleef een paar seconden met geopende deuren wachten, toen gingen de deuren dicht en reed de bus weg van de halte. </t>
  </si>
  <si>
    <t>gingen de deuren dicht</t>
  </si>
  <si>
    <t>Jegor keek het voertuig wezenloos na,</t>
  </si>
  <si>
    <t>, de muziek werd steeds luider, vulde de hele wereld, van de halve cirkel van het torenhoge hotel tot aan de in de verte zichtbare ‘doos op poten’– zijn flatgebouw</t>
  </si>
  <si>
    <t>de halve cirkel van het torenhoge hotel</t>
  </si>
  <si>
    <t>doos op poten</t>
  </si>
  <si>
    <t>De dag is fraai en frisgewassen, en er hangt een geur van tulpen en narcissen in de lucht.</t>
  </si>
  <si>
    <t>frisgewassen</t>
  </si>
  <si>
    <t>fraai</t>
  </si>
  <si>
    <t>fraai … lucht</t>
  </si>
  <si>
    <t>er hangt een geur … in de lucht</t>
  </si>
  <si>
    <t>Het zonlicht klatert door het badkamerraam naar binnen en boort zich in groenwitte lagen en vlakken door het water van de badkuip</t>
  </si>
  <si>
    <t>klatert</t>
  </si>
  <si>
    <t>boort zich in</t>
  </si>
  <si>
    <t xml:space="preserve">lagen </t>
  </si>
  <si>
    <t>lagen en vlakken</t>
  </si>
  <si>
    <t>Het klieft het water in breuken als een edelsteen en splijt het water tot stralend licht.</t>
  </si>
  <si>
    <t>klieft</t>
  </si>
  <si>
    <t>breuken</t>
  </si>
  <si>
    <t>splijt</t>
  </si>
  <si>
    <t>stralend licht</t>
  </si>
  <si>
    <t xml:space="preserve">Op de oppervlakte liggen vlekjes zon en ze dansen, dansen, en hun reflecties wiegelen heerlijk over het plafond: </t>
  </si>
  <si>
    <t>little splots of sunshine</t>
  </si>
  <si>
    <t>vlekjes zon</t>
  </si>
  <si>
    <t>wiegelen heerlijk</t>
  </si>
  <si>
    <t xml:space="preserve">één beweging van mijn vinger en ze rollen en tollen rond. </t>
  </si>
  <si>
    <t>rollen</t>
  </si>
  <si>
    <t>tollen rond</t>
  </si>
  <si>
    <t xml:space="preserve">Mijn voet zet de lichtvlakken in het waterbassin in beweging. </t>
  </si>
  <si>
    <t>lichtvlakken</t>
  </si>
  <si>
    <t>zet …  (in het waterbassin) in beweging</t>
  </si>
  <si>
    <t xml:space="preserve">Ik leun achterover en lach en laat het groenwitte water, het zongebroken berylwater over me stromen. </t>
  </si>
  <si>
    <t>het zongebroken</t>
  </si>
  <si>
    <t>berylwater</t>
  </si>
  <si>
    <t xml:space="preserve">De dag is bijna onverdraaglijk stralend, het groene water beschut me tegen de te stralende dag. </t>
  </si>
  <si>
    <t>onverdraaglijk stralend</t>
  </si>
  <si>
    <t>beschut</t>
  </si>
  <si>
    <t xml:space="preserve">Ik zal hier een tijdje liggen spelen met het water en de zonnevlekken. </t>
  </si>
  <si>
    <t>de zonnevlekken</t>
  </si>
  <si>
    <t>Een kraai wiekt langs het raam en er hangt een vleug van tulpen en narcissen in de lucht.</t>
  </si>
  <si>
    <t>wiekt</t>
  </si>
  <si>
    <t xml:space="preserve">De dag is pas gewassen, helder en fris, en de lucht geurt naar tulpen en narcis. </t>
  </si>
  <si>
    <t>pas gewassen</t>
  </si>
  <si>
    <t>helder en fris</t>
  </si>
  <si>
    <t>fris … narcis</t>
  </si>
  <si>
    <t>de lucht geurt naar …</t>
  </si>
  <si>
    <t xml:space="preserve">De zon stroomt gul het badkamerraam binnen en boort zich door het water in het bad — in banen en vlakken van groenig wit. </t>
  </si>
  <si>
    <t>stroomt</t>
  </si>
  <si>
    <t>banen</t>
  </si>
  <si>
    <t>banen en vlakken</t>
  </si>
  <si>
    <t xml:space="preserve">Het snijdt het water in barsten als in een edelsteen, en doet het oplichten in flarden licht. </t>
  </si>
  <si>
    <t xml:space="preserve">snijdt </t>
  </si>
  <si>
    <t>barsten</t>
  </si>
  <si>
    <t>doet het oplichten</t>
  </si>
  <si>
    <t>flarden licht</t>
  </si>
  <si>
    <t xml:space="preserve">Kleine zonnevlekken liggen op het wateroppervlak en dansen, dansen, terwijl hun weerspiegelingen zalig wiebelen over het plafond. </t>
  </si>
  <si>
    <t>kleine zonnevlekken</t>
  </si>
  <si>
    <t>zalig wiebelen</t>
  </si>
  <si>
    <t>Een beweging van mijn vinger zet ze aan het tollen, tollen.</t>
  </si>
  <si>
    <t>tollen</t>
  </si>
  <si>
    <t>Ik beweeg een voet, en de lichtvlakken in het water schokken uiteen.</t>
  </si>
  <si>
    <t>schokken uiteen</t>
  </si>
  <si>
    <t xml:space="preserve">Ik leun achterover en lach, en laat het groen-witte water — het zongebroken, berylgroen water — over mij heen stromen. </t>
  </si>
  <si>
    <t>zongebroken</t>
  </si>
  <si>
    <t>berylgroen water</t>
  </si>
  <si>
    <t xml:space="preserve">De dag is bijna te stralend om te verdragen, het groene water bedekt me tegen de te felle dag. </t>
  </si>
  <si>
    <t>te stralend om te verdragen</t>
  </si>
  <si>
    <t>bedekt</t>
  </si>
  <si>
    <t xml:space="preserve">Ik blijf hier nog even liggen en speel met het water en de dansende zonnevlekken. </t>
  </si>
  <si>
    <t>zonnevlekken</t>
  </si>
  <si>
    <t>Een kraai flapt langs het raam. En weer: een vleugje tulpen en narcis in de lucht.</t>
  </si>
  <si>
    <t>flapt</t>
  </si>
  <si>
    <t>De dag is kraakschoon en licht en er hangt een geur van tulpen en narcissen in de lucht.</t>
  </si>
  <si>
    <t>kraakschoon</t>
  </si>
  <si>
    <t>licht</t>
  </si>
  <si>
    <t>licht … lucht</t>
  </si>
  <si>
    <t>er hangt  een geur … in de lucht</t>
  </si>
  <si>
    <t>Het zonlicht stroomt door het raam naar binnen en dringt door het water in de badkuip in balken en vlakken van een groenachtig wit</t>
  </si>
  <si>
    <t>dringt door … in</t>
  </si>
  <si>
    <t>balken</t>
  </si>
  <si>
    <t>balken en vlakken</t>
  </si>
  <si>
    <t>Het splijt het water als een edelsteen en breekt het in facetten van helder licht.</t>
  </si>
  <si>
    <t>breekt … in</t>
  </si>
  <si>
    <t>facetten van helder licht</t>
  </si>
  <si>
    <t>Kleine vlekjes zonlicht liggen op het water en dansen, dansen, en hun spiegelingen wiegelen heerlijk over het plafond;</t>
  </si>
  <si>
    <t>kleine vlekjes zonlicht</t>
  </si>
  <si>
    <t xml:space="preserve">ik roer met mijn vinger en ze tollen en zwieren in het rond. </t>
  </si>
  <si>
    <t>tollen … in het rond</t>
  </si>
  <si>
    <t>zwieren … in het rond</t>
  </si>
  <si>
    <t>Ik beweeg een voet en de lichtvlakken in het water worden verstoord</t>
  </si>
  <si>
    <t>worden verstoord</t>
  </si>
  <si>
    <t xml:space="preserve">Ik leun naar achteren en lach, en laat het groenwitte water, het door de zon gefacetteerde berilwater, over me heen stromen. </t>
  </si>
  <si>
    <t>door de zon gefacetteerde</t>
  </si>
  <si>
    <t>berilwater</t>
  </si>
  <si>
    <t xml:space="preserve">De dag is bijna te helder om te verdragen, het groene water schermt me af voor de te heldere dag. </t>
  </si>
  <si>
    <t>te helder om te verdragen</t>
  </si>
  <si>
    <t>schermt me af</t>
  </si>
  <si>
    <t xml:space="preserve">Ik zal hier nog even blijven liggen en spelen met het water en de zonnevlekjes. </t>
  </si>
  <si>
    <t>de zonnevlekjes</t>
  </si>
  <si>
    <t>Een kraai klapwiekt langs het raam en er hangt een zweem van tulpen en narcissen in de lucht.</t>
  </si>
  <si>
    <t>klapwiekt</t>
  </si>
  <si>
    <t>Hij merkte dat Sally uit haar boek opkeek en iets wilde zeggen.</t>
  </si>
  <si>
    <t>uit …opkeek</t>
  </si>
  <si>
    <t>‘Vermoord worden is een beroepsrisico voor prostituees.’</t>
  </si>
  <si>
    <t>Vermoord worden</t>
  </si>
  <si>
    <t xml:space="preserve">‘Hm,’ zei hij, terwijl hij probeerde de draad van zijn berekeningen vast te houden. </t>
  </si>
  <si>
    <t>hij probeerde de draad van zijn berekeningen vast te houden</t>
  </si>
  <si>
    <t>Ze namen hem zo in beslag dat hij opschrok toen ze weer sprak.</t>
  </si>
  <si>
    <t xml:space="preserve">namen hem zo in beslag </t>
  </si>
  <si>
    <t>toen ze weer</t>
  </si>
  <si>
    <t>hij opschrok</t>
  </si>
  <si>
    <t>‘En voor echtgenotes ook, maar iets minder.’</t>
  </si>
  <si>
    <t>iets minder</t>
  </si>
  <si>
    <t xml:space="preserve">Haar inwendig gelijk gevend vroeg Willie: </t>
  </si>
  <si>
    <t>Inwardly assneting</t>
  </si>
  <si>
    <t>inwendig gelijkgevend</t>
  </si>
  <si>
    <t>Wat lees je nou weer?'</t>
  </si>
  <si>
    <t>nou</t>
  </si>
  <si>
    <t>Ik heb het uit de bibliotheek.'</t>
  </si>
  <si>
    <t>heb</t>
  </si>
  <si>
    <t>E</t>
  </si>
  <si>
    <t>bibliotheek</t>
  </si>
  <si>
    <t>Ja. Op een nogal droge manier.</t>
  </si>
  <si>
    <t>nogal</t>
  </si>
  <si>
    <t>droge</t>
  </si>
  <si>
    <t>Klinkt boeiend'</t>
  </si>
  <si>
    <t>boeiend</t>
  </si>
  <si>
    <t>Wat natuurlijk maar goed is ook.’</t>
  </si>
  <si>
    <t>wat natuurlijk maar goed ook is</t>
  </si>
  <si>
    <t>Hij keek naar Sally’s gladde vlasblonde haar, dat nu weer over haar boek hing</t>
  </si>
  <si>
    <t>gladde  vlasblonde haar</t>
  </si>
  <si>
    <t xml:space="preserve">Hoewel hij nog jong was, een student nog, was hij een jaar ouder dan zij en vond hij haar ongekunstelde wereldwijsheid ontroerend. </t>
  </si>
  <si>
    <t>ongekunstelde wereldwijsheden</t>
  </si>
  <si>
    <t>ontroerend</t>
  </si>
  <si>
    <t xml:space="preserve">Het was alsof de denkprocessen onder die zijdezachte haardos net zo glad en gesoigneerd waren, net zo kinderlijk gekamd en schoon.  </t>
  </si>
  <si>
    <t>die zijdezachte haardos</t>
  </si>
  <si>
    <t>zo … zo … zo</t>
  </si>
  <si>
    <t xml:space="preserve">glad </t>
  </si>
  <si>
    <t>gesoigneerd</t>
  </si>
  <si>
    <t>childishly comed and cleaned</t>
  </si>
  <si>
    <t>kinderlijk gekamd en schoon</t>
  </si>
  <si>
    <t>Hij merkte dat Sally uit haar boek was opgedoken en op het punt stond iets te zeggen.</t>
  </si>
  <si>
    <t>opgedoken</t>
  </si>
  <si>
    <t>Moord is een beroepsrisico voor prostituees.</t>
  </si>
  <si>
    <t>moord</t>
  </si>
  <si>
    <t xml:space="preserve">Hmm, zei hij, terwijl hij zich vastklampte aan de draad van zijn berekeningen. </t>
  </si>
  <si>
    <t>vastklampte aan de draad van zijn berekeningen</t>
  </si>
  <si>
    <t>Die werden zo meeslepend dat haar volgende opmerking hem overviel.</t>
  </si>
  <si>
    <t>werden zo meeslepend</t>
  </si>
  <si>
    <t>haar volgende opmerking</t>
  </si>
  <si>
    <t>hem overviel</t>
  </si>
  <si>
    <t>En voor echtgenotes ook—al wat minder.</t>
  </si>
  <si>
    <t>al wat minder</t>
  </si>
  <si>
    <t>Vanbinnen gaf Willie haar gelijk</t>
  </si>
  <si>
    <t>vanbinnen gaf … gelijk</t>
  </si>
  <si>
    <t>Wat lees je nou weer?</t>
  </si>
  <si>
    <t>Gehaald uit de openbare bibliotheek."</t>
  </si>
  <si>
    <t>gehaald</t>
  </si>
  <si>
    <t>openbare bibliotheek</t>
  </si>
  <si>
    <t>"Ja. Op een vrij kale manier."</t>
  </si>
  <si>
    <t>vrij</t>
  </si>
  <si>
    <t>kale</t>
  </si>
  <si>
    <t>"Klinkt meeslepend."</t>
  </si>
  <si>
    <t>meeslepend</t>
  </si>
  <si>
    <t>Wat natuurlijk maar goed is."</t>
  </si>
  <si>
    <t>wat natuurlijk maar goed is</t>
  </si>
  <si>
    <t xml:space="preserve">Hij keek naar Sally’s gladde vlasblonde haar, nu weer gebogen over haar boek. Hoewel </t>
  </si>
  <si>
    <t>gladde vlasblonde haar</t>
  </si>
  <si>
    <t xml:space="preserve">Hoewel hij nog jong was, nog student, was hij een jaar ouder dan zij en vond hij haar ongekunstelde wereldwijsheid ontroerend. </t>
  </si>
  <si>
    <t>ongekunsteldewereldwijsheid</t>
  </si>
  <si>
    <t>Het was alsof de denkprocessen onder dat kapje van zijdezacht haar net zo glad, zo ordelijk geschikt, zo kinderlijk gekamd en schoon waren.</t>
  </si>
  <si>
    <t>dat kapje van zijdezacht haar</t>
  </si>
  <si>
    <t>zo… zo… zo</t>
  </si>
  <si>
    <t>ordelijk geschikt</t>
  </si>
  <si>
    <t xml:space="preserve">He became aware that Sally had emerged from her book and was about to say something. </t>
  </si>
  <si>
    <t>Hij merkte dat Sally uit haar boek tevoorschijn was gekomen en aanstalten maakte om iets te zeggen.</t>
  </si>
  <si>
    <t xml:space="preserve">tevoorschijn was gekomen </t>
  </si>
  <si>
    <t>Zo ingespannen probeerde hij de draad van zijn berekeningen te volgen dat hij opschrok toen ze weer wat zei:</t>
  </si>
  <si>
    <t>probeerde hij de draad van zijn berekeningen te volgen</t>
  </si>
  <si>
    <t>zo ingespannen … dat</t>
  </si>
  <si>
    <t>‘En voor echtgenotes ook, al is het minder.’</t>
  </si>
  <si>
    <t>al is het wat minder</t>
  </si>
  <si>
    <t xml:space="preserve">Stilzwijgend moest Willie dat beamen. </t>
  </si>
  <si>
    <t>stilzwijgend moest … beamen</t>
  </si>
  <si>
    <t xml:space="preserve">“What on earth are you reading now?”  </t>
  </si>
  <si>
    <t>Wat ben je in hemelsnaam aan het lezen?’ vroeg hij.</t>
  </si>
  <si>
    <t>in hemelsnaam</t>
  </si>
  <si>
    <t>Geleend uit de bibliotheek.'</t>
  </si>
  <si>
    <t>Geleend</t>
  </si>
  <si>
    <t>Ja. Het is heel kaal.</t>
  </si>
  <si>
    <t>heel</t>
  </si>
  <si>
    <t>kaal</t>
  </si>
  <si>
    <t>‘Klinkt betoverend.’</t>
  </si>
  <si>
    <t>betoverend</t>
  </si>
  <si>
    <t xml:space="preserve"> Wat natuurlijk goed is.’</t>
  </si>
  <si>
    <t>Wat natuurlijk goed is</t>
  </si>
  <si>
    <t xml:space="preserve">Hij keek naar Sally’s sluike lichtblonde haar dat nu weer over haar boek hing.  wijsneuzigheden aandoenlijk. </t>
  </si>
  <si>
    <t>sluike lichtblonde haar</t>
  </si>
  <si>
    <t>Hoewel hij nog jong was, student, was hij een jaar ouder dan zij en hij vond haar argeloze wijsneuzigheden aandoenlijk.</t>
  </si>
  <si>
    <t>argeloze wijsneuzigheden</t>
  </si>
  <si>
    <t>aandoenlijk</t>
  </si>
  <si>
    <t>Alsof wat er omging onder die zijden capuchon van blonde haren even sluik, even gladgestreken, even kinderlijk gekamd en schoon was.</t>
  </si>
  <si>
    <t>die zijden capuchon van blonde haren</t>
  </si>
  <si>
    <t>even … even … even</t>
  </si>
  <si>
    <t>sluik</t>
  </si>
  <si>
    <t>(even) gladgestreken</t>
  </si>
  <si>
    <t>(even) kinderlijk gekamd en schoon</t>
  </si>
  <si>
    <t>Een bonk. De bonk.</t>
  </si>
  <si>
    <t>Ik stopte. Stopte met bewegen. Met ademen. Met denken.</t>
  </si>
  <si>
    <t xml:space="preserve">met bewegen. Met ademen. Met denken. </t>
  </si>
  <si>
    <t xml:space="preserve">Alle functies leken op pauze te gaan om hun vermogen naar mijn trommelvliezen te sturen. </t>
  </si>
  <si>
    <t>op pauze te gaan</t>
  </si>
  <si>
    <t>hun vermogen … te sturen</t>
  </si>
  <si>
    <t xml:space="preserve">Boven mij hoorde ik een wirwar van voetstappen. </t>
  </si>
  <si>
    <t>een wirwar van voetstappen</t>
  </si>
  <si>
    <t>Op de eerste verdieping rende iemand met een misselijkmakende, onmenselijke snelheid.</t>
  </si>
  <si>
    <t>eerste verdieping</t>
  </si>
  <si>
    <t xml:space="preserve">Het leek alsof de schoenzolen boven me een magneet in de hakken hadden en of ik door een muntje in mijn hoofdhuid meegetrokken werd </t>
  </si>
  <si>
    <t>hadden</t>
  </si>
  <si>
    <t>de schoenzolen … in de hakken</t>
  </si>
  <si>
    <t>een muntje in mijn hoofdhuid</t>
  </si>
  <si>
    <t>meegetrokken</t>
  </si>
  <si>
    <t>– langs de wand met onze montagefoto’s, onder de slecht geplamuurde barst in het plafond en uiteindelijk naar de plek tussen de garderobe voor de jassen en de saloondeurtjes naar de keuken, waar de voetstappen stopten en ik ook.</t>
  </si>
  <si>
    <t>montagefoto's</t>
  </si>
  <si>
    <t>slecht geplamuurde barst</t>
  </si>
  <si>
    <t>de garderobe voor jassen</t>
  </si>
  <si>
    <t>saloondeurtjes</t>
  </si>
  <si>
    <t xml:space="preserve">Ik stond in de schaduw van het hoofdtrappenhuis, op een afstand van ongeveer vier meter en één centimeter tegenover de dubbele voordeur. </t>
  </si>
  <si>
    <t>hoofdtrappenhuis</t>
  </si>
  <si>
    <t>dubbele voordeur</t>
  </si>
  <si>
    <t>vier meter en één centimeter</t>
  </si>
  <si>
    <t>Ik dacht viereneenhalve meter, maar toen de rechercheur het nog geen uur later opmat, bleek dat ik de afstand tussen ons een fractie te ruim had ingeschat.</t>
  </si>
  <si>
    <t>vierenhalve meter</t>
  </si>
  <si>
    <t>een fractie</t>
  </si>
  <si>
    <t>te ruim had ingeschat</t>
  </si>
  <si>
    <t xml:space="preserve">A thud. The thud. </t>
  </si>
  <si>
    <t xml:space="preserve">Ik stopte. Stopte met bewegen. Met ademen. Met denken. </t>
  </si>
  <si>
    <t>Een dreun. Dé dreun.</t>
  </si>
  <si>
    <t>Een dreun. Dé dreun</t>
  </si>
  <si>
    <t>met bewegen. Met ademen. Met denken</t>
  </si>
  <si>
    <t>Al mijn lichaamsfuncties leken uit te vallen, zodat de vrijgekomen energie zich kon concentreren in mijn trommelvliezen</t>
  </si>
  <si>
    <t>uit te vallen</t>
  </si>
  <si>
    <t>de vrijgekomen energie zich kon concentreren</t>
  </si>
  <si>
    <t xml:space="preserve">Boven me klonk geroffel van voetstappen. </t>
  </si>
  <si>
    <t>geroffel van voetstappen</t>
  </si>
  <si>
    <t>Iemand op de eerste verdieping rende met een misselijkmakende, onmenselijke snelheid.</t>
  </si>
  <si>
    <t>Het was alsof er een magneet aan die voeten vastzat, en het ijzer in mijn bloed me erachteraan trok</t>
  </si>
  <si>
    <t>vastzat</t>
  </si>
  <si>
    <t>die voeten</t>
  </si>
  <si>
    <t>het ijzer in mijnbloed</t>
  </si>
  <si>
    <t>erachteraan trok</t>
  </si>
  <si>
    <t>– langs de muur met onze groepsfoto’s, onder de slordig dichtgeplamuurde scheur in het plafond, tot aan de plek tussen de halkast en de keukenluiken, waar de voetstappen stopten en ik dus ook.</t>
  </si>
  <si>
    <t>groepsfoto's</t>
  </si>
  <si>
    <t>de slordig dichtgeplamuurde scheur</t>
  </si>
  <si>
    <t>halkast</t>
  </si>
  <si>
    <t>keukenluiken</t>
  </si>
  <si>
    <t xml:space="preserve">Ik stond in de schaduw van de hoofdtrap, recht tegenover de dubbele voordeur ongeveer vier meter van me vandaan. </t>
  </si>
  <si>
    <t>hoofdtrap</t>
  </si>
  <si>
    <t>vier meter</t>
  </si>
  <si>
    <t xml:space="preserve"> Ik gokte vijf, maar toen de rechercheur het nog geen uur later nakeek, bleek dat ik de afstand tussen ons net iets te groot had ingeschat.</t>
  </si>
  <si>
    <t>vijf</t>
  </si>
  <si>
    <t>net iets</t>
  </si>
  <si>
    <t>te groot had ingeschat</t>
  </si>
  <si>
    <t>Alles viel stil. Alsof mijn hele lichaam luisterde met mijn trommelvliezen alleen.</t>
  </si>
  <si>
    <t>Alles viel stil</t>
  </si>
  <si>
    <t>alsof mijn hele lichaam …. Alleen</t>
  </si>
  <si>
    <t>Boven me klonken voetstappen</t>
  </si>
  <si>
    <t>voetstappen--een razende stroom</t>
  </si>
  <si>
    <t>Niet zomaar voetstappen—een razende stroom. Iemand op de tweede verdieping rende met een misselijkmakende, onmenselijke snelheid.</t>
  </si>
  <si>
    <t>tweede verdieping</t>
  </si>
  <si>
    <t>Het was alsof een magneet aan die voeten vastzat, en het ijzer in mijn bloed mij erachteraan trok</t>
  </si>
  <si>
    <t>CO</t>
  </si>
  <si>
    <t>het ijzer in mijn bloed</t>
  </si>
  <si>
    <t>langs de muur met onze groepsfoto’s, onder de scheur in het plafond die slordig was dichtgeplamuurd, en uiteindelijk naar de plek tussen de kapstok en de keukenluiken waar de voetstappen stopten. En ik ook.</t>
  </si>
  <si>
    <t>de scheur in het plafond die slordig was dichtgeplamuurd</t>
  </si>
  <si>
    <t>kapstok</t>
  </si>
  <si>
    <t>Ik stond in de schaduw van de hoofdtrap, recht tegenover de dubbele voordeur. Ongeveer vier meter van me vandaan</t>
  </si>
  <si>
    <t>Ik gokte vijf, maar toen de rechercheur het nog geen uur later nakeek, bleek dat ik de afstand tussen ons net iets te groot had ingeschat.</t>
  </si>
  <si>
    <t>Match_YN</t>
  </si>
  <si>
    <t>Match_diff_YN</t>
  </si>
  <si>
    <t>Match_spec</t>
  </si>
  <si>
    <t>Simple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</si>
</sst>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BD77B-1AC1-4B54-AAEC-ED107016E2B6}">
  <dimension ref="A1:Q565"/>
  <sheetViews>
    <sheetView tabSelected="1" workbookViewId="0">
      <selection activeCell="O570" sqref="O570"/>
    </sheetView>
  </sheetViews>
  <sheetFormatPr defaultRowHeight="14.4" x14ac:dyDescent="0.3"/>
  <sheetData>
    <row r="1" spans="1:17" x14ac:dyDescent="0.3">
      <c r="A1" t="s">
        <v>0</v>
      </c>
      <c r="B1" t="s">
        <v>1</v>
      </c>
      <c r="C1" t="s">
        <v>2</v>
      </c>
      <c r="D1" t="s">
        <v>3</v>
      </c>
      <c r="E1" t="s">
        <v>4</v>
      </c>
      <c r="F1" t="s">
        <v>5</v>
      </c>
      <c r="G1" t="s">
        <v>1023</v>
      </c>
      <c r="H1" t="s">
        <v>6</v>
      </c>
      <c r="I1" t="s">
        <v>5</v>
      </c>
      <c r="J1" t="s">
        <v>1020</v>
      </c>
      <c r="K1" t="s">
        <v>7</v>
      </c>
      <c r="L1" t="s">
        <v>1021</v>
      </c>
      <c r="M1" t="s">
        <v>1022</v>
      </c>
      <c r="N1" t="s">
        <v>68</v>
      </c>
      <c r="O1" t="s">
        <v>69</v>
      </c>
      <c r="P1" t="s">
        <v>70</v>
      </c>
      <c r="Q1" t="s">
        <v>71</v>
      </c>
    </row>
    <row r="2" spans="1:17" x14ac:dyDescent="0.3">
      <c r="A2" t="s">
        <v>8</v>
      </c>
      <c r="B2" t="s">
        <v>9</v>
      </c>
      <c r="C2" t="s">
        <v>8</v>
      </c>
      <c r="D2" t="s">
        <v>9</v>
      </c>
      <c r="E2" s="1" t="s">
        <v>10</v>
      </c>
      <c r="F2" t="str">
        <f>IF(E2="R", "R", "CS")</f>
        <v>R</v>
      </c>
      <c r="G2">
        <f>IF(F2="R",0,(IF(F2="CS",1,"HELP")))</f>
        <v>0</v>
      </c>
      <c r="H2" t="s">
        <v>10</v>
      </c>
      <c r="I2" t="str">
        <f>IF(H2="R","R", "CS")</f>
        <v>R</v>
      </c>
      <c r="J2" t="str">
        <f>IF(F2=I2, "Yes", "No")</f>
        <v>Yes</v>
      </c>
      <c r="K2">
        <f>IF(J2="Yes", 1, 0)</f>
        <v>1</v>
      </c>
      <c r="L2" t="str">
        <f>IF(E2=H2, "Yes", "No")</f>
        <v>Yes</v>
      </c>
      <c r="M2">
        <f>IF(L2="Yes", 1, 0)</f>
        <v>1</v>
      </c>
      <c r="N2" t="s">
        <v>0</v>
      </c>
      <c r="O2" t="s">
        <v>72</v>
      </c>
      <c r="P2" t="s">
        <v>73</v>
      </c>
      <c r="Q2" t="s">
        <v>3</v>
      </c>
    </row>
    <row r="3" spans="1:17" x14ac:dyDescent="0.3">
      <c r="A3" t="s">
        <v>11</v>
      </c>
      <c r="B3" t="s">
        <v>12</v>
      </c>
      <c r="C3" t="s">
        <v>13</v>
      </c>
      <c r="D3" t="s">
        <v>14</v>
      </c>
      <c r="E3" s="1" t="s">
        <v>10</v>
      </c>
      <c r="F3" t="str">
        <f t="shared" ref="F3:F21" si="0">IF(E3="R", "R", "CS")</f>
        <v>R</v>
      </c>
      <c r="G3">
        <f t="shared" ref="G3:G66" si="1">IF(F3="R",0,(IF(F3="CS",1,"HELP")))</f>
        <v>0</v>
      </c>
      <c r="H3" t="s">
        <v>10</v>
      </c>
      <c r="I3" t="str">
        <f t="shared" ref="I3:I21" si="2">IF(H3="R","R", "CS")</f>
        <v>R</v>
      </c>
      <c r="J3" t="str">
        <f t="shared" ref="J3:J21" si="3">IF(F3=I3, "Yes", "No")</f>
        <v>Yes</v>
      </c>
      <c r="K3">
        <f t="shared" ref="K3:K66" si="4">IF(J3="Yes", 1, 0)</f>
        <v>1</v>
      </c>
      <c r="L3" t="str">
        <f t="shared" ref="L3:L21" si="5">IF(E3=H3, "Yes", "No")</f>
        <v>Yes</v>
      </c>
      <c r="M3">
        <f t="shared" ref="M3:M66" si="6">IF(L3="Yes", 1, 0)</f>
        <v>1</v>
      </c>
      <c r="N3" t="s">
        <v>0</v>
      </c>
      <c r="O3" t="s">
        <v>72</v>
      </c>
      <c r="P3" t="s">
        <v>73</v>
      </c>
      <c r="Q3" t="s">
        <v>3</v>
      </c>
    </row>
    <row r="4" spans="1:17" x14ac:dyDescent="0.3">
      <c r="A4" t="s">
        <v>15</v>
      </c>
      <c r="B4" t="s">
        <v>16</v>
      </c>
      <c r="C4" t="s">
        <v>17</v>
      </c>
      <c r="D4" t="s">
        <v>18</v>
      </c>
      <c r="E4" s="1" t="s">
        <v>10</v>
      </c>
      <c r="F4" t="str">
        <f t="shared" si="0"/>
        <v>R</v>
      </c>
      <c r="G4">
        <f t="shared" si="1"/>
        <v>0</v>
      </c>
      <c r="H4" t="s">
        <v>10</v>
      </c>
      <c r="I4" t="str">
        <f t="shared" si="2"/>
        <v>R</v>
      </c>
      <c r="J4" t="str">
        <f t="shared" si="3"/>
        <v>Yes</v>
      </c>
      <c r="K4">
        <f t="shared" si="4"/>
        <v>1</v>
      </c>
      <c r="L4" t="str">
        <f t="shared" si="5"/>
        <v>Yes</v>
      </c>
      <c r="M4">
        <f t="shared" si="6"/>
        <v>1</v>
      </c>
      <c r="N4" t="s">
        <v>0</v>
      </c>
      <c r="O4" t="s">
        <v>72</v>
      </c>
      <c r="P4" t="s">
        <v>73</v>
      </c>
      <c r="Q4" t="s">
        <v>3</v>
      </c>
    </row>
    <row r="5" spans="1:17" x14ac:dyDescent="0.3">
      <c r="A5" t="s">
        <v>15</v>
      </c>
      <c r="B5" t="s">
        <v>16</v>
      </c>
      <c r="C5" t="s">
        <v>19</v>
      </c>
      <c r="D5" t="s">
        <v>20</v>
      </c>
      <c r="E5" s="1" t="s">
        <v>10</v>
      </c>
      <c r="F5" t="str">
        <f t="shared" si="0"/>
        <v>R</v>
      </c>
      <c r="G5">
        <f t="shared" si="1"/>
        <v>0</v>
      </c>
      <c r="H5" t="s">
        <v>10</v>
      </c>
      <c r="I5" t="str">
        <f t="shared" si="2"/>
        <v>R</v>
      </c>
      <c r="J5" t="str">
        <f t="shared" si="3"/>
        <v>Yes</v>
      </c>
      <c r="K5">
        <f t="shared" si="4"/>
        <v>1</v>
      </c>
      <c r="L5" t="str">
        <f t="shared" si="5"/>
        <v>Yes</v>
      </c>
      <c r="M5">
        <f t="shared" si="6"/>
        <v>1</v>
      </c>
      <c r="N5" t="s">
        <v>0</v>
      </c>
      <c r="O5" t="s">
        <v>72</v>
      </c>
      <c r="P5" t="s">
        <v>73</v>
      </c>
      <c r="Q5" t="s">
        <v>3</v>
      </c>
    </row>
    <row r="6" spans="1:17" x14ac:dyDescent="0.3">
      <c r="A6" t="s">
        <v>21</v>
      </c>
      <c r="B6" t="s">
        <v>22</v>
      </c>
      <c r="C6" t="s">
        <v>23</v>
      </c>
      <c r="D6" t="s">
        <v>24</v>
      </c>
      <c r="E6" s="1" t="s">
        <v>10</v>
      </c>
      <c r="F6" t="str">
        <f t="shared" si="0"/>
        <v>R</v>
      </c>
      <c r="G6">
        <f t="shared" si="1"/>
        <v>0</v>
      </c>
      <c r="H6" t="s">
        <v>25</v>
      </c>
      <c r="I6" t="str">
        <f t="shared" si="2"/>
        <v>CS</v>
      </c>
      <c r="J6" t="str">
        <f t="shared" si="3"/>
        <v>No</v>
      </c>
      <c r="K6">
        <f t="shared" si="4"/>
        <v>0</v>
      </c>
      <c r="L6" t="str">
        <f t="shared" si="5"/>
        <v>No</v>
      </c>
      <c r="M6">
        <f t="shared" si="6"/>
        <v>0</v>
      </c>
      <c r="N6" t="s">
        <v>0</v>
      </c>
      <c r="O6" t="s">
        <v>72</v>
      </c>
      <c r="P6" t="s">
        <v>73</v>
      </c>
      <c r="Q6" t="s">
        <v>3</v>
      </c>
    </row>
    <row r="7" spans="1:17" x14ac:dyDescent="0.3">
      <c r="A7" t="s">
        <v>26</v>
      </c>
      <c r="B7" t="s">
        <v>27</v>
      </c>
      <c r="C7" t="s">
        <v>28</v>
      </c>
      <c r="D7" t="s">
        <v>29</v>
      </c>
      <c r="E7" s="1" t="s">
        <v>10</v>
      </c>
      <c r="F7" t="str">
        <f t="shared" si="0"/>
        <v>R</v>
      </c>
      <c r="G7">
        <f t="shared" si="1"/>
        <v>0</v>
      </c>
      <c r="H7" t="s">
        <v>10</v>
      </c>
      <c r="I7" t="str">
        <f t="shared" si="2"/>
        <v>R</v>
      </c>
      <c r="J7" t="str">
        <f t="shared" si="3"/>
        <v>Yes</v>
      </c>
      <c r="K7">
        <f t="shared" si="4"/>
        <v>1</v>
      </c>
      <c r="L7" t="str">
        <f t="shared" si="5"/>
        <v>Yes</v>
      </c>
      <c r="M7">
        <f t="shared" si="6"/>
        <v>1</v>
      </c>
      <c r="N7" t="s">
        <v>0</v>
      </c>
      <c r="O7" t="s">
        <v>72</v>
      </c>
      <c r="P7" t="s">
        <v>73</v>
      </c>
      <c r="Q7" t="s">
        <v>3</v>
      </c>
    </row>
    <row r="8" spans="1:17" x14ac:dyDescent="0.3">
      <c r="A8" t="s">
        <v>30</v>
      </c>
      <c r="B8" t="s">
        <v>31</v>
      </c>
      <c r="C8" t="s">
        <v>32</v>
      </c>
      <c r="D8" t="s">
        <v>33</v>
      </c>
      <c r="E8" s="1" t="s">
        <v>10</v>
      </c>
      <c r="F8" t="str">
        <f t="shared" si="0"/>
        <v>R</v>
      </c>
      <c r="G8">
        <f t="shared" si="1"/>
        <v>0</v>
      </c>
      <c r="H8" t="s">
        <v>10</v>
      </c>
      <c r="I8" t="str">
        <f t="shared" si="2"/>
        <v>R</v>
      </c>
      <c r="J8" t="str">
        <f t="shared" si="3"/>
        <v>Yes</v>
      </c>
      <c r="K8">
        <f t="shared" si="4"/>
        <v>1</v>
      </c>
      <c r="L8" t="str">
        <f t="shared" si="5"/>
        <v>Yes</v>
      </c>
      <c r="M8">
        <f t="shared" si="6"/>
        <v>1</v>
      </c>
      <c r="N8" t="s">
        <v>0</v>
      </c>
      <c r="O8" t="s">
        <v>72</v>
      </c>
      <c r="P8" t="s">
        <v>73</v>
      </c>
      <c r="Q8" t="s">
        <v>3</v>
      </c>
    </row>
    <row r="9" spans="1:17" x14ac:dyDescent="0.3">
      <c r="A9" t="s">
        <v>30</v>
      </c>
      <c r="B9" t="s">
        <v>31</v>
      </c>
      <c r="C9" t="s">
        <v>34</v>
      </c>
      <c r="D9" t="s">
        <v>35</v>
      </c>
      <c r="E9" s="1" t="s">
        <v>10</v>
      </c>
      <c r="F9" t="str">
        <f t="shared" si="0"/>
        <v>R</v>
      </c>
      <c r="G9">
        <f t="shared" si="1"/>
        <v>0</v>
      </c>
      <c r="H9" t="s">
        <v>10</v>
      </c>
      <c r="I9" t="str">
        <f t="shared" si="2"/>
        <v>R</v>
      </c>
      <c r="J9" t="str">
        <f t="shared" si="3"/>
        <v>Yes</v>
      </c>
      <c r="K9">
        <f t="shared" si="4"/>
        <v>1</v>
      </c>
      <c r="L9" t="str">
        <f t="shared" si="5"/>
        <v>Yes</v>
      </c>
      <c r="M9">
        <f t="shared" si="6"/>
        <v>1</v>
      </c>
      <c r="N9" t="s">
        <v>0</v>
      </c>
      <c r="O9" t="s">
        <v>72</v>
      </c>
      <c r="P9" t="s">
        <v>73</v>
      </c>
      <c r="Q9" t="s">
        <v>3</v>
      </c>
    </row>
    <row r="10" spans="1:17" x14ac:dyDescent="0.3">
      <c r="A10" t="s">
        <v>30</v>
      </c>
      <c r="B10" t="s">
        <v>31</v>
      </c>
      <c r="C10" t="s">
        <v>36</v>
      </c>
      <c r="D10" t="s">
        <v>37</v>
      </c>
      <c r="E10" s="1" t="s">
        <v>10</v>
      </c>
      <c r="F10" t="str">
        <f t="shared" si="0"/>
        <v>R</v>
      </c>
      <c r="G10">
        <f t="shared" si="1"/>
        <v>0</v>
      </c>
      <c r="H10" t="s">
        <v>10</v>
      </c>
      <c r="I10" t="str">
        <f t="shared" si="2"/>
        <v>R</v>
      </c>
      <c r="J10" t="str">
        <f t="shared" si="3"/>
        <v>Yes</v>
      </c>
      <c r="K10">
        <f t="shared" si="4"/>
        <v>1</v>
      </c>
      <c r="L10" t="str">
        <f t="shared" si="5"/>
        <v>Yes</v>
      </c>
      <c r="M10">
        <f t="shared" si="6"/>
        <v>1</v>
      </c>
      <c r="N10" t="s">
        <v>0</v>
      </c>
      <c r="O10" t="s">
        <v>72</v>
      </c>
      <c r="P10" t="s">
        <v>73</v>
      </c>
      <c r="Q10" t="s">
        <v>3</v>
      </c>
    </row>
    <row r="11" spans="1:17" x14ac:dyDescent="0.3">
      <c r="A11" t="s">
        <v>30</v>
      </c>
      <c r="B11" t="s">
        <v>31</v>
      </c>
      <c r="C11" t="s">
        <v>38</v>
      </c>
      <c r="D11" t="s">
        <v>39</v>
      </c>
      <c r="E11" s="1" t="s">
        <v>10</v>
      </c>
      <c r="F11" t="str">
        <f t="shared" si="0"/>
        <v>R</v>
      </c>
      <c r="G11">
        <f t="shared" si="1"/>
        <v>0</v>
      </c>
      <c r="H11" t="s">
        <v>10</v>
      </c>
      <c r="I11" t="str">
        <f t="shared" si="2"/>
        <v>R</v>
      </c>
      <c r="J11" t="str">
        <f t="shared" si="3"/>
        <v>Yes</v>
      </c>
      <c r="K11">
        <f t="shared" si="4"/>
        <v>1</v>
      </c>
      <c r="L11" t="str">
        <f t="shared" si="5"/>
        <v>Yes</v>
      </c>
      <c r="M11">
        <f t="shared" si="6"/>
        <v>1</v>
      </c>
      <c r="N11" t="s">
        <v>0</v>
      </c>
      <c r="O11" t="s">
        <v>72</v>
      </c>
      <c r="P11" t="s">
        <v>73</v>
      </c>
      <c r="Q11" t="s">
        <v>3</v>
      </c>
    </row>
    <row r="12" spans="1:17" x14ac:dyDescent="0.3">
      <c r="A12" t="s">
        <v>40</v>
      </c>
      <c r="B12" t="s">
        <v>41</v>
      </c>
      <c r="C12" t="s">
        <v>42</v>
      </c>
      <c r="D12" t="s">
        <v>43</v>
      </c>
      <c r="E12" s="1" t="s">
        <v>10</v>
      </c>
      <c r="F12" t="str">
        <f t="shared" si="0"/>
        <v>R</v>
      </c>
      <c r="G12">
        <f t="shared" si="1"/>
        <v>0</v>
      </c>
      <c r="H12" t="s">
        <v>44</v>
      </c>
      <c r="I12" t="str">
        <f t="shared" si="2"/>
        <v>CS</v>
      </c>
      <c r="J12" t="str">
        <f t="shared" si="3"/>
        <v>No</v>
      </c>
      <c r="K12">
        <f t="shared" si="4"/>
        <v>0</v>
      </c>
      <c r="L12" t="str">
        <f t="shared" si="5"/>
        <v>No</v>
      </c>
      <c r="M12">
        <f t="shared" si="6"/>
        <v>0</v>
      </c>
      <c r="N12" t="s">
        <v>0</v>
      </c>
      <c r="O12" t="s">
        <v>72</v>
      </c>
      <c r="P12" t="s">
        <v>73</v>
      </c>
      <c r="Q12" t="s">
        <v>3</v>
      </c>
    </row>
    <row r="13" spans="1:17" x14ac:dyDescent="0.3">
      <c r="A13" t="s">
        <v>40</v>
      </c>
      <c r="B13" t="s">
        <v>41</v>
      </c>
      <c r="C13" t="s">
        <v>45</v>
      </c>
      <c r="D13" t="s">
        <v>46</v>
      </c>
      <c r="E13" s="1" t="s">
        <v>10</v>
      </c>
      <c r="F13" t="str">
        <f t="shared" si="0"/>
        <v>R</v>
      </c>
      <c r="G13">
        <f t="shared" si="1"/>
        <v>0</v>
      </c>
      <c r="H13" t="s">
        <v>10</v>
      </c>
      <c r="I13" t="str">
        <f t="shared" si="2"/>
        <v>R</v>
      </c>
      <c r="J13" t="str">
        <f t="shared" si="3"/>
        <v>Yes</v>
      </c>
      <c r="K13">
        <f t="shared" si="4"/>
        <v>1</v>
      </c>
      <c r="L13" t="str">
        <f t="shared" si="5"/>
        <v>Yes</v>
      </c>
      <c r="M13">
        <f t="shared" si="6"/>
        <v>1</v>
      </c>
      <c r="N13" t="s">
        <v>0</v>
      </c>
      <c r="O13" t="s">
        <v>72</v>
      </c>
      <c r="P13" t="s">
        <v>73</v>
      </c>
      <c r="Q13" t="s">
        <v>3</v>
      </c>
    </row>
    <row r="14" spans="1:17" x14ac:dyDescent="0.3">
      <c r="A14" t="s">
        <v>40</v>
      </c>
      <c r="B14" t="s">
        <v>41</v>
      </c>
      <c r="C14" t="s">
        <v>47</v>
      </c>
      <c r="D14" t="s">
        <v>48</v>
      </c>
      <c r="E14" s="1" t="s">
        <v>10</v>
      </c>
      <c r="F14" t="str">
        <f t="shared" si="0"/>
        <v>R</v>
      </c>
      <c r="G14">
        <f t="shared" si="1"/>
        <v>0</v>
      </c>
      <c r="H14" t="s">
        <v>10</v>
      </c>
      <c r="I14" t="str">
        <f t="shared" si="2"/>
        <v>R</v>
      </c>
      <c r="J14" t="str">
        <f t="shared" si="3"/>
        <v>Yes</v>
      </c>
      <c r="K14">
        <f t="shared" si="4"/>
        <v>1</v>
      </c>
      <c r="L14" t="str">
        <f t="shared" si="5"/>
        <v>Yes</v>
      </c>
      <c r="M14">
        <f t="shared" si="6"/>
        <v>1</v>
      </c>
      <c r="N14" t="s">
        <v>0</v>
      </c>
      <c r="O14" t="s">
        <v>72</v>
      </c>
      <c r="P14" t="s">
        <v>73</v>
      </c>
      <c r="Q14" t="s">
        <v>3</v>
      </c>
    </row>
    <row r="15" spans="1:17" x14ac:dyDescent="0.3">
      <c r="A15" t="s">
        <v>40</v>
      </c>
      <c r="B15" t="s">
        <v>41</v>
      </c>
      <c r="C15" t="s">
        <v>49</v>
      </c>
      <c r="D15" t="s">
        <v>50</v>
      </c>
      <c r="E15" s="1" t="s">
        <v>10</v>
      </c>
      <c r="F15" t="str">
        <f t="shared" si="0"/>
        <v>R</v>
      </c>
      <c r="G15">
        <f t="shared" si="1"/>
        <v>0</v>
      </c>
      <c r="H15" t="s">
        <v>10</v>
      </c>
      <c r="I15" t="str">
        <f t="shared" si="2"/>
        <v>R</v>
      </c>
      <c r="J15" t="str">
        <f t="shared" si="3"/>
        <v>Yes</v>
      </c>
      <c r="K15">
        <f t="shared" si="4"/>
        <v>1</v>
      </c>
      <c r="L15" t="str">
        <f t="shared" si="5"/>
        <v>Yes</v>
      </c>
      <c r="M15">
        <f t="shared" si="6"/>
        <v>1</v>
      </c>
      <c r="N15" t="s">
        <v>0</v>
      </c>
      <c r="O15" t="s">
        <v>72</v>
      </c>
      <c r="P15" t="s">
        <v>73</v>
      </c>
      <c r="Q15" t="s">
        <v>3</v>
      </c>
    </row>
    <row r="16" spans="1:17" x14ac:dyDescent="0.3">
      <c r="A16" t="s">
        <v>51</v>
      </c>
      <c r="B16" t="s">
        <v>52</v>
      </c>
      <c r="C16" t="s">
        <v>53</v>
      </c>
      <c r="D16" t="s">
        <v>54</v>
      </c>
      <c r="E16" s="1" t="s">
        <v>10</v>
      </c>
      <c r="F16" t="str">
        <f t="shared" si="0"/>
        <v>R</v>
      </c>
      <c r="G16">
        <f t="shared" si="1"/>
        <v>0</v>
      </c>
      <c r="H16" t="s">
        <v>10</v>
      </c>
      <c r="I16" t="str">
        <f t="shared" si="2"/>
        <v>R</v>
      </c>
      <c r="J16" t="str">
        <f t="shared" si="3"/>
        <v>Yes</v>
      </c>
      <c r="K16">
        <f t="shared" si="4"/>
        <v>1</v>
      </c>
      <c r="L16" t="str">
        <f t="shared" si="5"/>
        <v>Yes</v>
      </c>
      <c r="M16">
        <f t="shared" si="6"/>
        <v>1</v>
      </c>
      <c r="N16" t="s">
        <v>0</v>
      </c>
      <c r="O16" t="s">
        <v>72</v>
      </c>
      <c r="P16" t="s">
        <v>73</v>
      </c>
      <c r="Q16" t="s">
        <v>3</v>
      </c>
    </row>
    <row r="17" spans="1:17" x14ac:dyDescent="0.3">
      <c r="A17" t="s">
        <v>51</v>
      </c>
      <c r="B17" t="s">
        <v>52</v>
      </c>
      <c r="C17" t="s">
        <v>55</v>
      </c>
      <c r="D17" t="s">
        <v>56</v>
      </c>
      <c r="E17" s="1" t="s">
        <v>10</v>
      </c>
      <c r="F17" t="str">
        <f t="shared" si="0"/>
        <v>R</v>
      </c>
      <c r="G17">
        <f t="shared" si="1"/>
        <v>0</v>
      </c>
      <c r="H17" t="s">
        <v>10</v>
      </c>
      <c r="I17" t="str">
        <f t="shared" si="2"/>
        <v>R</v>
      </c>
      <c r="J17" t="str">
        <f t="shared" si="3"/>
        <v>Yes</v>
      </c>
      <c r="K17">
        <f t="shared" si="4"/>
        <v>1</v>
      </c>
      <c r="L17" t="str">
        <f t="shared" si="5"/>
        <v>Yes</v>
      </c>
      <c r="M17">
        <f t="shared" si="6"/>
        <v>1</v>
      </c>
      <c r="N17" t="s">
        <v>0</v>
      </c>
      <c r="O17" t="s">
        <v>72</v>
      </c>
      <c r="P17" t="s">
        <v>73</v>
      </c>
      <c r="Q17" t="s">
        <v>3</v>
      </c>
    </row>
    <row r="18" spans="1:17" x14ac:dyDescent="0.3">
      <c r="A18" t="s">
        <v>51</v>
      </c>
      <c r="B18" t="s">
        <v>52</v>
      </c>
      <c r="C18" t="s">
        <v>57</v>
      </c>
      <c r="D18" t="s">
        <v>58</v>
      </c>
      <c r="E18" s="1" t="s">
        <v>59</v>
      </c>
      <c r="F18" t="str">
        <f t="shared" si="0"/>
        <v>CS</v>
      </c>
      <c r="G18">
        <f t="shared" si="1"/>
        <v>1</v>
      </c>
      <c r="H18" t="s">
        <v>10</v>
      </c>
      <c r="I18" t="str">
        <f t="shared" si="2"/>
        <v>R</v>
      </c>
      <c r="J18" t="str">
        <f t="shared" si="3"/>
        <v>No</v>
      </c>
      <c r="K18">
        <f t="shared" si="4"/>
        <v>0</v>
      </c>
      <c r="L18" t="str">
        <f t="shared" si="5"/>
        <v>No</v>
      </c>
      <c r="M18">
        <f t="shared" si="6"/>
        <v>0</v>
      </c>
      <c r="N18" t="s">
        <v>0</v>
      </c>
      <c r="O18" t="s">
        <v>72</v>
      </c>
      <c r="P18" t="s">
        <v>73</v>
      </c>
      <c r="Q18" t="s">
        <v>3</v>
      </c>
    </row>
    <row r="19" spans="1:17" x14ac:dyDescent="0.3">
      <c r="A19" t="s">
        <v>60</v>
      </c>
      <c r="B19" t="s">
        <v>61</v>
      </c>
      <c r="C19" t="s">
        <v>62</v>
      </c>
      <c r="D19" t="s">
        <v>63</v>
      </c>
      <c r="E19" s="1" t="s">
        <v>59</v>
      </c>
      <c r="F19" t="str">
        <f t="shared" si="0"/>
        <v>CS</v>
      </c>
      <c r="G19">
        <f t="shared" si="1"/>
        <v>1</v>
      </c>
      <c r="H19" t="s">
        <v>10</v>
      </c>
      <c r="I19" t="str">
        <f t="shared" si="2"/>
        <v>R</v>
      </c>
      <c r="J19" t="str">
        <f t="shared" si="3"/>
        <v>No</v>
      </c>
      <c r="K19">
        <f t="shared" si="4"/>
        <v>0</v>
      </c>
      <c r="L19" t="str">
        <f t="shared" si="5"/>
        <v>No</v>
      </c>
      <c r="M19">
        <f t="shared" si="6"/>
        <v>0</v>
      </c>
      <c r="N19" t="s">
        <v>0</v>
      </c>
      <c r="O19" t="s">
        <v>72</v>
      </c>
      <c r="P19" t="s">
        <v>73</v>
      </c>
      <c r="Q19" t="s">
        <v>3</v>
      </c>
    </row>
    <row r="20" spans="1:17" x14ac:dyDescent="0.3">
      <c r="A20" t="s">
        <v>60</v>
      </c>
      <c r="B20" t="s">
        <v>61</v>
      </c>
      <c r="C20" t="s">
        <v>64</v>
      </c>
      <c r="D20" t="s">
        <v>65</v>
      </c>
      <c r="E20" s="1" t="s">
        <v>10</v>
      </c>
      <c r="F20" t="str">
        <f t="shared" si="0"/>
        <v>R</v>
      </c>
      <c r="G20">
        <f t="shared" si="1"/>
        <v>0</v>
      </c>
      <c r="H20" t="s">
        <v>44</v>
      </c>
      <c r="I20" t="str">
        <f t="shared" si="2"/>
        <v>CS</v>
      </c>
      <c r="J20" t="str">
        <f t="shared" si="3"/>
        <v>No</v>
      </c>
      <c r="K20">
        <f t="shared" si="4"/>
        <v>0</v>
      </c>
      <c r="L20" t="str">
        <f t="shared" si="5"/>
        <v>No</v>
      </c>
      <c r="M20">
        <f t="shared" si="6"/>
        <v>0</v>
      </c>
      <c r="N20" t="s">
        <v>0</v>
      </c>
      <c r="O20" t="s">
        <v>72</v>
      </c>
      <c r="P20" t="s">
        <v>73</v>
      </c>
      <c r="Q20" t="s">
        <v>3</v>
      </c>
    </row>
    <row r="21" spans="1:17" x14ac:dyDescent="0.3">
      <c r="A21" t="s">
        <v>60</v>
      </c>
      <c r="B21" t="s">
        <v>61</v>
      </c>
      <c r="C21" t="s">
        <v>66</v>
      </c>
      <c r="D21" t="s">
        <v>67</v>
      </c>
      <c r="E21" s="1" t="s">
        <v>10</v>
      </c>
      <c r="F21" t="str">
        <f t="shared" si="0"/>
        <v>R</v>
      </c>
      <c r="G21">
        <f t="shared" si="1"/>
        <v>0</v>
      </c>
      <c r="H21" t="s">
        <v>10</v>
      </c>
      <c r="I21" t="str">
        <f t="shared" si="2"/>
        <v>R</v>
      </c>
      <c r="J21" t="str">
        <f t="shared" si="3"/>
        <v>Yes</v>
      </c>
      <c r="K21">
        <f t="shared" si="4"/>
        <v>1</v>
      </c>
      <c r="L21" t="str">
        <f t="shared" si="5"/>
        <v>Yes</v>
      </c>
      <c r="M21">
        <f t="shared" si="6"/>
        <v>1</v>
      </c>
      <c r="N21" t="s">
        <v>0</v>
      </c>
      <c r="O21" t="s">
        <v>72</v>
      </c>
      <c r="P21" t="s">
        <v>73</v>
      </c>
      <c r="Q21" t="s">
        <v>3</v>
      </c>
    </row>
    <row r="22" spans="1:17" x14ac:dyDescent="0.3">
      <c r="A22" t="s">
        <v>8</v>
      </c>
      <c r="B22" t="s">
        <v>9</v>
      </c>
      <c r="C22" t="s">
        <v>8</v>
      </c>
      <c r="D22" t="s">
        <v>9</v>
      </c>
      <c r="E22" s="1" t="s">
        <v>10</v>
      </c>
      <c r="F22" s="1" t="s">
        <v>10</v>
      </c>
      <c r="G22">
        <f t="shared" si="1"/>
        <v>0</v>
      </c>
      <c r="H22" t="s">
        <v>10</v>
      </c>
      <c r="I22" t="str">
        <f>IF(H22="R", "R", "CS")</f>
        <v>R</v>
      </c>
      <c r="J22" t="str">
        <f>IF(F22=I22, "Yes", "No")</f>
        <v>Yes</v>
      </c>
      <c r="K22">
        <f t="shared" si="4"/>
        <v>1</v>
      </c>
      <c r="L22" t="str">
        <f>IF(E22=H22, "Yes", "No")</f>
        <v>Yes</v>
      </c>
      <c r="M22">
        <f t="shared" si="6"/>
        <v>1</v>
      </c>
      <c r="N22" t="s">
        <v>0</v>
      </c>
      <c r="O22" t="s">
        <v>72</v>
      </c>
      <c r="P22" t="s">
        <v>73</v>
      </c>
      <c r="Q22" t="s">
        <v>74</v>
      </c>
    </row>
    <row r="23" spans="1:17" x14ac:dyDescent="0.3">
      <c r="A23" t="s">
        <v>11</v>
      </c>
      <c r="B23" t="s">
        <v>75</v>
      </c>
      <c r="C23" t="s">
        <v>13</v>
      </c>
      <c r="D23" t="s">
        <v>14</v>
      </c>
      <c r="E23" s="1" t="s">
        <v>10</v>
      </c>
      <c r="F23" s="1" t="s">
        <v>10</v>
      </c>
      <c r="G23">
        <f t="shared" si="1"/>
        <v>0</v>
      </c>
      <c r="H23" t="s">
        <v>10</v>
      </c>
      <c r="I23" t="str">
        <f t="shared" ref="I23:I41" si="7">IF(H23="R", "R", "CS")</f>
        <v>R</v>
      </c>
      <c r="J23" t="str">
        <f t="shared" ref="J23:J41" si="8">IF(F23=I23, "Yes", "No")</f>
        <v>Yes</v>
      </c>
      <c r="K23">
        <f t="shared" si="4"/>
        <v>1</v>
      </c>
      <c r="L23" t="str">
        <f t="shared" ref="L23:L41" si="9">IF(E23=H23, "Yes", "No")</f>
        <v>Yes</v>
      </c>
      <c r="M23">
        <f t="shared" si="6"/>
        <v>1</v>
      </c>
      <c r="N23" t="s">
        <v>0</v>
      </c>
      <c r="O23" t="s">
        <v>72</v>
      </c>
      <c r="P23" t="s">
        <v>73</v>
      </c>
      <c r="Q23" t="s">
        <v>74</v>
      </c>
    </row>
    <row r="24" spans="1:17" x14ac:dyDescent="0.3">
      <c r="A24" t="s">
        <v>15</v>
      </c>
      <c r="B24" t="s">
        <v>76</v>
      </c>
      <c r="C24" t="s">
        <v>17</v>
      </c>
      <c r="D24" t="s">
        <v>77</v>
      </c>
      <c r="E24" s="1" t="s">
        <v>10</v>
      </c>
      <c r="F24" s="1" t="s">
        <v>10</v>
      </c>
      <c r="G24">
        <f t="shared" si="1"/>
        <v>0</v>
      </c>
      <c r="H24" t="s">
        <v>10</v>
      </c>
      <c r="I24" t="str">
        <f t="shared" si="7"/>
        <v>R</v>
      </c>
      <c r="J24" t="str">
        <f t="shared" si="8"/>
        <v>Yes</v>
      </c>
      <c r="K24">
        <f t="shared" si="4"/>
        <v>1</v>
      </c>
      <c r="L24" t="str">
        <f t="shared" si="9"/>
        <v>Yes</v>
      </c>
      <c r="M24">
        <f t="shared" si="6"/>
        <v>1</v>
      </c>
      <c r="N24" t="s">
        <v>0</v>
      </c>
      <c r="O24" t="s">
        <v>72</v>
      </c>
      <c r="P24" t="s">
        <v>73</v>
      </c>
      <c r="Q24" t="s">
        <v>74</v>
      </c>
    </row>
    <row r="25" spans="1:17" x14ac:dyDescent="0.3">
      <c r="A25" t="s">
        <v>15</v>
      </c>
      <c r="B25" t="s">
        <v>76</v>
      </c>
      <c r="C25" t="s">
        <v>19</v>
      </c>
      <c r="D25" t="s">
        <v>20</v>
      </c>
      <c r="E25" s="1" t="s">
        <v>10</v>
      </c>
      <c r="F25" s="1" t="s">
        <v>10</v>
      </c>
      <c r="G25">
        <f t="shared" si="1"/>
        <v>0</v>
      </c>
      <c r="H25" t="s">
        <v>25</v>
      </c>
      <c r="I25" t="str">
        <f t="shared" si="7"/>
        <v>CS</v>
      </c>
      <c r="J25" t="str">
        <f t="shared" si="8"/>
        <v>No</v>
      </c>
      <c r="K25">
        <f t="shared" si="4"/>
        <v>0</v>
      </c>
      <c r="L25" t="str">
        <f t="shared" si="9"/>
        <v>No</v>
      </c>
      <c r="M25">
        <f t="shared" si="6"/>
        <v>0</v>
      </c>
      <c r="N25" t="s">
        <v>0</v>
      </c>
      <c r="O25" t="s">
        <v>72</v>
      </c>
      <c r="P25" t="s">
        <v>73</v>
      </c>
      <c r="Q25" t="s">
        <v>74</v>
      </c>
    </row>
    <row r="26" spans="1:17" x14ac:dyDescent="0.3">
      <c r="A26" t="s">
        <v>21</v>
      </c>
      <c r="B26" t="s">
        <v>78</v>
      </c>
      <c r="C26" t="s">
        <v>23</v>
      </c>
      <c r="D26" t="s">
        <v>79</v>
      </c>
      <c r="E26" s="1" t="s">
        <v>10</v>
      </c>
      <c r="F26" s="1" t="s">
        <v>10</v>
      </c>
      <c r="G26">
        <f t="shared" si="1"/>
        <v>0</v>
      </c>
      <c r="H26" t="s">
        <v>59</v>
      </c>
      <c r="I26" t="str">
        <f t="shared" si="7"/>
        <v>CS</v>
      </c>
      <c r="J26" t="str">
        <f t="shared" si="8"/>
        <v>No</v>
      </c>
      <c r="K26">
        <f t="shared" si="4"/>
        <v>0</v>
      </c>
      <c r="L26" t="str">
        <f t="shared" si="9"/>
        <v>No</v>
      </c>
      <c r="M26">
        <f t="shared" si="6"/>
        <v>0</v>
      </c>
      <c r="N26" t="s">
        <v>0</v>
      </c>
      <c r="O26" t="s">
        <v>72</v>
      </c>
      <c r="P26" t="s">
        <v>73</v>
      </c>
      <c r="Q26" t="s">
        <v>74</v>
      </c>
    </row>
    <row r="27" spans="1:17" x14ac:dyDescent="0.3">
      <c r="A27" t="s">
        <v>26</v>
      </c>
      <c r="B27" t="s">
        <v>80</v>
      </c>
      <c r="C27" t="s">
        <v>28</v>
      </c>
      <c r="D27" t="s">
        <v>29</v>
      </c>
      <c r="E27" s="1" t="s">
        <v>10</v>
      </c>
      <c r="F27" s="1" t="s">
        <v>10</v>
      </c>
      <c r="G27">
        <f t="shared" si="1"/>
        <v>0</v>
      </c>
      <c r="H27" t="s">
        <v>10</v>
      </c>
      <c r="I27" t="str">
        <f t="shared" si="7"/>
        <v>R</v>
      </c>
      <c r="J27" t="str">
        <f t="shared" si="8"/>
        <v>Yes</v>
      </c>
      <c r="K27">
        <f t="shared" si="4"/>
        <v>1</v>
      </c>
      <c r="L27" t="str">
        <f t="shared" si="9"/>
        <v>Yes</v>
      </c>
      <c r="M27">
        <f t="shared" si="6"/>
        <v>1</v>
      </c>
      <c r="N27" t="s">
        <v>0</v>
      </c>
      <c r="O27" t="s">
        <v>72</v>
      </c>
      <c r="P27" t="s">
        <v>73</v>
      </c>
      <c r="Q27" t="s">
        <v>74</v>
      </c>
    </row>
    <row r="28" spans="1:17" x14ac:dyDescent="0.3">
      <c r="A28" t="s">
        <v>30</v>
      </c>
      <c r="B28" t="s">
        <v>81</v>
      </c>
      <c r="C28" t="s">
        <v>32</v>
      </c>
      <c r="D28" t="s">
        <v>82</v>
      </c>
      <c r="E28" s="1" t="s">
        <v>10</v>
      </c>
      <c r="F28" s="1" t="s">
        <v>10</v>
      </c>
      <c r="G28">
        <f t="shared" si="1"/>
        <v>0</v>
      </c>
      <c r="H28" t="s">
        <v>59</v>
      </c>
      <c r="I28" t="str">
        <f t="shared" si="7"/>
        <v>CS</v>
      </c>
      <c r="J28" t="str">
        <f t="shared" si="8"/>
        <v>No</v>
      </c>
      <c r="K28">
        <f t="shared" si="4"/>
        <v>0</v>
      </c>
      <c r="L28" t="str">
        <f t="shared" si="9"/>
        <v>No</v>
      </c>
      <c r="M28">
        <f t="shared" si="6"/>
        <v>0</v>
      </c>
      <c r="N28" t="s">
        <v>0</v>
      </c>
      <c r="O28" t="s">
        <v>72</v>
      </c>
      <c r="P28" t="s">
        <v>73</v>
      </c>
      <c r="Q28" t="s">
        <v>74</v>
      </c>
    </row>
    <row r="29" spans="1:17" x14ac:dyDescent="0.3">
      <c r="A29" t="s">
        <v>30</v>
      </c>
      <c r="B29" t="s">
        <v>81</v>
      </c>
      <c r="C29" t="s">
        <v>34</v>
      </c>
      <c r="D29" t="s">
        <v>83</v>
      </c>
      <c r="E29" s="1" t="s">
        <v>10</v>
      </c>
      <c r="F29" s="1" t="s">
        <v>10</v>
      </c>
      <c r="G29">
        <f t="shared" si="1"/>
        <v>0</v>
      </c>
      <c r="H29" t="s">
        <v>10</v>
      </c>
      <c r="I29" t="str">
        <f t="shared" si="7"/>
        <v>R</v>
      </c>
      <c r="J29" t="str">
        <f t="shared" si="8"/>
        <v>Yes</v>
      </c>
      <c r="K29">
        <f t="shared" si="4"/>
        <v>1</v>
      </c>
      <c r="L29" t="str">
        <f t="shared" si="9"/>
        <v>Yes</v>
      </c>
      <c r="M29">
        <f t="shared" si="6"/>
        <v>1</v>
      </c>
      <c r="N29" t="s">
        <v>0</v>
      </c>
      <c r="O29" t="s">
        <v>72</v>
      </c>
      <c r="P29" t="s">
        <v>73</v>
      </c>
      <c r="Q29" t="s">
        <v>74</v>
      </c>
    </row>
    <row r="30" spans="1:17" x14ac:dyDescent="0.3">
      <c r="A30" t="s">
        <v>30</v>
      </c>
      <c r="B30" t="s">
        <v>81</v>
      </c>
      <c r="C30" t="s">
        <v>36</v>
      </c>
      <c r="D30" t="s">
        <v>84</v>
      </c>
      <c r="E30" s="1" t="s">
        <v>10</v>
      </c>
      <c r="F30" s="1" t="s">
        <v>10</v>
      </c>
      <c r="G30">
        <f t="shared" si="1"/>
        <v>0</v>
      </c>
      <c r="H30" t="s">
        <v>10</v>
      </c>
      <c r="I30" t="str">
        <f t="shared" si="7"/>
        <v>R</v>
      </c>
      <c r="J30" t="str">
        <f t="shared" si="8"/>
        <v>Yes</v>
      </c>
      <c r="K30">
        <f t="shared" si="4"/>
        <v>1</v>
      </c>
      <c r="L30" t="str">
        <f t="shared" si="9"/>
        <v>Yes</v>
      </c>
      <c r="M30">
        <f t="shared" si="6"/>
        <v>1</v>
      </c>
      <c r="N30" t="s">
        <v>0</v>
      </c>
      <c r="O30" t="s">
        <v>72</v>
      </c>
      <c r="P30" t="s">
        <v>73</v>
      </c>
      <c r="Q30" t="s">
        <v>74</v>
      </c>
    </row>
    <row r="31" spans="1:17" x14ac:dyDescent="0.3">
      <c r="A31" t="s">
        <v>30</v>
      </c>
      <c r="B31" t="s">
        <v>81</v>
      </c>
      <c r="C31" t="s">
        <v>38</v>
      </c>
      <c r="D31" t="s">
        <v>85</v>
      </c>
      <c r="E31" s="1" t="s">
        <v>10</v>
      </c>
      <c r="F31" s="1" t="s">
        <v>10</v>
      </c>
      <c r="G31">
        <f t="shared" si="1"/>
        <v>0</v>
      </c>
      <c r="H31" t="s">
        <v>25</v>
      </c>
      <c r="I31" t="str">
        <f t="shared" si="7"/>
        <v>CS</v>
      </c>
      <c r="J31" t="str">
        <f t="shared" si="8"/>
        <v>No</v>
      </c>
      <c r="K31">
        <f t="shared" si="4"/>
        <v>0</v>
      </c>
      <c r="L31" t="str">
        <f t="shared" si="9"/>
        <v>No</v>
      </c>
      <c r="M31">
        <f t="shared" si="6"/>
        <v>0</v>
      </c>
      <c r="N31" t="s">
        <v>0</v>
      </c>
      <c r="O31" t="s">
        <v>72</v>
      </c>
      <c r="P31" t="s">
        <v>73</v>
      </c>
      <c r="Q31" t="s">
        <v>74</v>
      </c>
    </row>
    <row r="32" spans="1:17" x14ac:dyDescent="0.3">
      <c r="A32" t="s">
        <v>40</v>
      </c>
      <c r="B32" t="s">
        <v>86</v>
      </c>
      <c r="C32" t="s">
        <v>42</v>
      </c>
      <c r="D32" t="s">
        <v>87</v>
      </c>
      <c r="E32" s="1" t="s">
        <v>10</v>
      </c>
      <c r="F32" s="1" t="s">
        <v>10</v>
      </c>
      <c r="G32">
        <f t="shared" si="1"/>
        <v>0</v>
      </c>
      <c r="H32" t="s">
        <v>25</v>
      </c>
      <c r="I32" t="str">
        <f t="shared" si="7"/>
        <v>CS</v>
      </c>
      <c r="J32" t="str">
        <f t="shared" si="8"/>
        <v>No</v>
      </c>
      <c r="K32">
        <f t="shared" si="4"/>
        <v>0</v>
      </c>
      <c r="L32" t="str">
        <f t="shared" si="9"/>
        <v>No</v>
      </c>
      <c r="M32">
        <f t="shared" si="6"/>
        <v>0</v>
      </c>
      <c r="N32" t="s">
        <v>0</v>
      </c>
      <c r="O32" t="s">
        <v>72</v>
      </c>
      <c r="P32" t="s">
        <v>73</v>
      </c>
      <c r="Q32" t="s">
        <v>74</v>
      </c>
    </row>
    <row r="33" spans="1:17" x14ac:dyDescent="0.3">
      <c r="A33" t="s">
        <v>40</v>
      </c>
      <c r="B33" t="s">
        <v>86</v>
      </c>
      <c r="C33" t="s">
        <v>45</v>
      </c>
      <c r="D33" t="s">
        <v>46</v>
      </c>
      <c r="E33" s="1" t="s">
        <v>10</v>
      </c>
      <c r="F33" s="1" t="s">
        <v>10</v>
      </c>
      <c r="G33">
        <f t="shared" si="1"/>
        <v>0</v>
      </c>
      <c r="H33" t="s">
        <v>10</v>
      </c>
      <c r="I33" t="str">
        <f t="shared" si="7"/>
        <v>R</v>
      </c>
      <c r="J33" t="str">
        <f t="shared" si="8"/>
        <v>Yes</v>
      </c>
      <c r="K33">
        <f t="shared" si="4"/>
        <v>1</v>
      </c>
      <c r="L33" t="str">
        <f t="shared" si="9"/>
        <v>Yes</v>
      </c>
      <c r="M33">
        <f t="shared" si="6"/>
        <v>1</v>
      </c>
      <c r="N33" t="s">
        <v>0</v>
      </c>
      <c r="O33" t="s">
        <v>72</v>
      </c>
      <c r="P33" t="s">
        <v>73</v>
      </c>
      <c r="Q33" t="s">
        <v>74</v>
      </c>
    </row>
    <row r="34" spans="1:17" x14ac:dyDescent="0.3">
      <c r="A34" t="s">
        <v>40</v>
      </c>
      <c r="B34" t="s">
        <v>86</v>
      </c>
      <c r="C34" t="s">
        <v>47</v>
      </c>
      <c r="D34" t="s">
        <v>48</v>
      </c>
      <c r="E34" s="1" t="s">
        <v>10</v>
      </c>
      <c r="F34" s="1" t="s">
        <v>10</v>
      </c>
      <c r="G34">
        <f t="shared" si="1"/>
        <v>0</v>
      </c>
      <c r="H34" t="s">
        <v>10</v>
      </c>
      <c r="I34" t="str">
        <f t="shared" si="7"/>
        <v>R</v>
      </c>
      <c r="J34" t="str">
        <f t="shared" si="8"/>
        <v>Yes</v>
      </c>
      <c r="K34">
        <f t="shared" si="4"/>
        <v>1</v>
      </c>
      <c r="L34" t="str">
        <f t="shared" si="9"/>
        <v>Yes</v>
      </c>
      <c r="M34">
        <f t="shared" si="6"/>
        <v>1</v>
      </c>
      <c r="N34" t="s">
        <v>0</v>
      </c>
      <c r="O34" t="s">
        <v>72</v>
      </c>
      <c r="P34" t="s">
        <v>73</v>
      </c>
      <c r="Q34" t="s">
        <v>74</v>
      </c>
    </row>
    <row r="35" spans="1:17" x14ac:dyDescent="0.3">
      <c r="A35" t="s">
        <v>40</v>
      </c>
      <c r="B35" t="s">
        <v>86</v>
      </c>
      <c r="C35" t="s">
        <v>49</v>
      </c>
      <c r="D35" t="s">
        <v>88</v>
      </c>
      <c r="E35" s="1" t="s">
        <v>10</v>
      </c>
      <c r="F35" s="1" t="s">
        <v>10</v>
      </c>
      <c r="G35">
        <f t="shared" si="1"/>
        <v>0</v>
      </c>
      <c r="H35" t="s">
        <v>59</v>
      </c>
      <c r="I35" t="str">
        <f t="shared" si="7"/>
        <v>CS</v>
      </c>
      <c r="J35" t="str">
        <f t="shared" si="8"/>
        <v>No</v>
      </c>
      <c r="K35">
        <f t="shared" si="4"/>
        <v>0</v>
      </c>
      <c r="L35" t="str">
        <f t="shared" si="9"/>
        <v>No</v>
      </c>
      <c r="M35">
        <f t="shared" si="6"/>
        <v>0</v>
      </c>
      <c r="N35" t="s">
        <v>0</v>
      </c>
      <c r="O35" t="s">
        <v>72</v>
      </c>
      <c r="P35" t="s">
        <v>73</v>
      </c>
      <c r="Q35" t="s">
        <v>74</v>
      </c>
    </row>
    <row r="36" spans="1:17" x14ac:dyDescent="0.3">
      <c r="A36" t="s">
        <v>51</v>
      </c>
      <c r="B36" t="s">
        <v>89</v>
      </c>
      <c r="C36" t="s">
        <v>53</v>
      </c>
      <c r="D36" t="s">
        <v>54</v>
      </c>
      <c r="E36" s="1" t="s">
        <v>10</v>
      </c>
      <c r="F36" s="1" t="s">
        <v>10</v>
      </c>
      <c r="G36">
        <f t="shared" si="1"/>
        <v>0</v>
      </c>
      <c r="H36" t="s">
        <v>10</v>
      </c>
      <c r="I36" t="str">
        <f t="shared" si="7"/>
        <v>R</v>
      </c>
      <c r="J36" t="str">
        <f t="shared" si="8"/>
        <v>Yes</v>
      </c>
      <c r="K36">
        <f t="shared" si="4"/>
        <v>1</v>
      </c>
      <c r="L36" t="str">
        <f t="shared" si="9"/>
        <v>Yes</v>
      </c>
      <c r="M36">
        <f t="shared" si="6"/>
        <v>1</v>
      </c>
      <c r="N36" t="s">
        <v>0</v>
      </c>
      <c r="O36" t="s">
        <v>72</v>
      </c>
      <c r="P36" t="s">
        <v>73</v>
      </c>
      <c r="Q36" t="s">
        <v>74</v>
      </c>
    </row>
    <row r="37" spans="1:17" x14ac:dyDescent="0.3">
      <c r="A37" t="s">
        <v>51</v>
      </c>
      <c r="B37" t="s">
        <v>89</v>
      </c>
      <c r="C37" t="s">
        <v>55</v>
      </c>
      <c r="D37" t="s">
        <v>90</v>
      </c>
      <c r="E37" s="1" t="s">
        <v>10</v>
      </c>
      <c r="F37" s="1" t="s">
        <v>10</v>
      </c>
      <c r="G37">
        <f t="shared" si="1"/>
        <v>0</v>
      </c>
      <c r="H37" t="s">
        <v>10</v>
      </c>
      <c r="I37" t="str">
        <f t="shared" si="7"/>
        <v>R</v>
      </c>
      <c r="J37" t="str">
        <f t="shared" si="8"/>
        <v>Yes</v>
      </c>
      <c r="K37">
        <f t="shared" si="4"/>
        <v>1</v>
      </c>
      <c r="L37" t="str">
        <f t="shared" si="9"/>
        <v>Yes</v>
      </c>
      <c r="M37">
        <f t="shared" si="6"/>
        <v>1</v>
      </c>
      <c r="N37" t="s">
        <v>0</v>
      </c>
      <c r="O37" t="s">
        <v>72</v>
      </c>
      <c r="P37" t="s">
        <v>73</v>
      </c>
      <c r="Q37" t="s">
        <v>74</v>
      </c>
    </row>
    <row r="38" spans="1:17" x14ac:dyDescent="0.3">
      <c r="A38" t="s">
        <v>51</v>
      </c>
      <c r="B38" t="s">
        <v>89</v>
      </c>
      <c r="C38" t="s">
        <v>57</v>
      </c>
      <c r="D38" t="s">
        <v>91</v>
      </c>
      <c r="E38" s="1" t="s">
        <v>10</v>
      </c>
      <c r="F38" s="1" t="s">
        <v>10</v>
      </c>
      <c r="G38">
        <f t="shared" si="1"/>
        <v>0</v>
      </c>
      <c r="H38" t="s">
        <v>10</v>
      </c>
      <c r="I38" t="str">
        <f t="shared" si="7"/>
        <v>R</v>
      </c>
      <c r="J38" t="str">
        <f t="shared" si="8"/>
        <v>Yes</v>
      </c>
      <c r="K38">
        <f t="shared" si="4"/>
        <v>1</v>
      </c>
      <c r="L38" t="str">
        <f t="shared" si="9"/>
        <v>Yes</v>
      </c>
      <c r="M38">
        <f t="shared" si="6"/>
        <v>1</v>
      </c>
      <c r="N38" t="s">
        <v>0</v>
      </c>
      <c r="O38" t="s">
        <v>72</v>
      </c>
      <c r="P38" t="s">
        <v>73</v>
      </c>
      <c r="Q38" t="s">
        <v>74</v>
      </c>
    </row>
    <row r="39" spans="1:17" x14ac:dyDescent="0.3">
      <c r="A39" t="s">
        <v>60</v>
      </c>
      <c r="B39" t="s">
        <v>92</v>
      </c>
      <c r="C39" t="s">
        <v>62</v>
      </c>
      <c r="D39" t="s">
        <v>93</v>
      </c>
      <c r="E39" s="1" t="s">
        <v>10</v>
      </c>
      <c r="F39" s="1" t="s">
        <v>10</v>
      </c>
      <c r="G39">
        <f t="shared" si="1"/>
        <v>0</v>
      </c>
      <c r="H39" t="s">
        <v>10</v>
      </c>
      <c r="I39" t="str">
        <f t="shared" si="7"/>
        <v>R</v>
      </c>
      <c r="J39" t="str">
        <f t="shared" si="8"/>
        <v>Yes</v>
      </c>
      <c r="K39">
        <f t="shared" si="4"/>
        <v>1</v>
      </c>
      <c r="L39" t="str">
        <f t="shared" si="9"/>
        <v>Yes</v>
      </c>
      <c r="M39">
        <f t="shared" si="6"/>
        <v>1</v>
      </c>
      <c r="N39" t="s">
        <v>0</v>
      </c>
      <c r="O39" t="s">
        <v>72</v>
      </c>
      <c r="P39" t="s">
        <v>73</v>
      </c>
      <c r="Q39" t="s">
        <v>74</v>
      </c>
    </row>
    <row r="40" spans="1:17" x14ac:dyDescent="0.3">
      <c r="A40" t="s">
        <v>60</v>
      </c>
      <c r="B40" t="s">
        <v>92</v>
      </c>
      <c r="C40" t="s">
        <v>64</v>
      </c>
      <c r="D40" t="s">
        <v>65</v>
      </c>
      <c r="E40" s="1" t="s">
        <v>10</v>
      </c>
      <c r="F40" s="1" t="s">
        <v>10</v>
      </c>
      <c r="G40">
        <f t="shared" si="1"/>
        <v>0</v>
      </c>
      <c r="H40" t="s">
        <v>25</v>
      </c>
      <c r="I40" t="str">
        <f t="shared" si="7"/>
        <v>CS</v>
      </c>
      <c r="J40" t="str">
        <f t="shared" si="8"/>
        <v>No</v>
      </c>
      <c r="K40">
        <f t="shared" si="4"/>
        <v>0</v>
      </c>
      <c r="L40" t="str">
        <f t="shared" si="9"/>
        <v>No</v>
      </c>
      <c r="M40">
        <f t="shared" si="6"/>
        <v>0</v>
      </c>
      <c r="N40" t="s">
        <v>0</v>
      </c>
      <c r="O40" t="s">
        <v>72</v>
      </c>
      <c r="P40" t="s">
        <v>73</v>
      </c>
      <c r="Q40" t="s">
        <v>74</v>
      </c>
    </row>
    <row r="41" spans="1:17" x14ac:dyDescent="0.3">
      <c r="A41" t="s">
        <v>60</v>
      </c>
      <c r="B41" t="s">
        <v>92</v>
      </c>
      <c r="C41" t="s">
        <v>66</v>
      </c>
      <c r="D41" t="s">
        <v>94</v>
      </c>
      <c r="E41" s="1" t="s">
        <v>10</v>
      </c>
      <c r="F41" s="1" t="s">
        <v>10</v>
      </c>
      <c r="G41">
        <f t="shared" si="1"/>
        <v>0</v>
      </c>
      <c r="H41" t="s">
        <v>10</v>
      </c>
      <c r="I41" t="str">
        <f t="shared" si="7"/>
        <v>R</v>
      </c>
      <c r="J41" t="str">
        <f t="shared" si="8"/>
        <v>Yes</v>
      </c>
      <c r="K41">
        <f t="shared" si="4"/>
        <v>1</v>
      </c>
      <c r="L41" t="str">
        <f t="shared" si="9"/>
        <v>Yes</v>
      </c>
      <c r="M41">
        <f t="shared" si="6"/>
        <v>1</v>
      </c>
      <c r="N41" t="s">
        <v>0</v>
      </c>
      <c r="O41" t="s">
        <v>72</v>
      </c>
      <c r="P41" t="s">
        <v>73</v>
      </c>
      <c r="Q41" t="s">
        <v>74</v>
      </c>
    </row>
    <row r="42" spans="1:17" x14ac:dyDescent="0.3">
      <c r="A42" t="s">
        <v>8</v>
      </c>
      <c r="B42" t="s">
        <v>96</v>
      </c>
      <c r="C42" t="s">
        <v>8</v>
      </c>
      <c r="D42" t="s">
        <v>96</v>
      </c>
      <c r="E42" s="1" t="s">
        <v>10</v>
      </c>
      <c r="F42" t="str">
        <f>IF(E42="R", "R", "CS")</f>
        <v>R</v>
      </c>
      <c r="G42">
        <f t="shared" si="1"/>
        <v>0</v>
      </c>
      <c r="H42" t="s">
        <v>10</v>
      </c>
      <c r="I42" t="str">
        <f>IF(H42="R", "R", "CS")</f>
        <v>R</v>
      </c>
      <c r="J42" t="str">
        <f>IF(F42=I42, "Yes", "No")</f>
        <v>Yes</v>
      </c>
      <c r="K42">
        <f t="shared" si="4"/>
        <v>1</v>
      </c>
      <c r="L42" t="str">
        <f>IF(E42=H42, "Yes", "No")</f>
        <v>Yes</v>
      </c>
      <c r="M42">
        <f t="shared" si="6"/>
        <v>1</v>
      </c>
      <c r="N42" t="s">
        <v>0</v>
      </c>
      <c r="O42" t="s">
        <v>72</v>
      </c>
      <c r="P42" t="s">
        <v>73</v>
      </c>
      <c r="Q42" t="s">
        <v>95</v>
      </c>
    </row>
    <row r="43" spans="1:17" x14ac:dyDescent="0.3">
      <c r="A43" t="s">
        <v>11</v>
      </c>
      <c r="B43" t="s">
        <v>97</v>
      </c>
      <c r="C43" t="s">
        <v>13</v>
      </c>
      <c r="D43" t="s">
        <v>98</v>
      </c>
      <c r="E43" s="1" t="s">
        <v>10</v>
      </c>
      <c r="F43" t="str">
        <f t="shared" ref="F43:F61" si="10">IF(E43="R", "R", "CS")</f>
        <v>R</v>
      </c>
      <c r="G43">
        <f t="shared" si="1"/>
        <v>0</v>
      </c>
      <c r="H43" t="s">
        <v>10</v>
      </c>
      <c r="I43" t="str">
        <f t="shared" ref="I43:I61" si="11">IF(H43="R", "R", "CS")</f>
        <v>R</v>
      </c>
      <c r="J43" t="str">
        <f t="shared" ref="J43:J61" si="12">IF(F43=I43, "Yes", "No")</f>
        <v>Yes</v>
      </c>
      <c r="K43">
        <f t="shared" si="4"/>
        <v>1</v>
      </c>
      <c r="L43" t="str">
        <f t="shared" ref="L43:L61" si="13">IF(E43=H43, "Yes", "No")</f>
        <v>Yes</v>
      </c>
      <c r="M43">
        <f t="shared" si="6"/>
        <v>1</v>
      </c>
      <c r="N43" t="s">
        <v>0</v>
      </c>
      <c r="O43" t="s">
        <v>72</v>
      </c>
      <c r="P43" t="s">
        <v>73</v>
      </c>
      <c r="Q43" t="s">
        <v>95</v>
      </c>
    </row>
    <row r="44" spans="1:17" x14ac:dyDescent="0.3">
      <c r="A44" t="s">
        <v>15</v>
      </c>
      <c r="B44" t="s">
        <v>99</v>
      </c>
      <c r="C44" t="s">
        <v>17</v>
      </c>
      <c r="D44" t="s">
        <v>100</v>
      </c>
      <c r="E44" s="1" t="s">
        <v>10</v>
      </c>
      <c r="F44" t="str">
        <f t="shared" si="10"/>
        <v>R</v>
      </c>
      <c r="G44">
        <f t="shared" si="1"/>
        <v>0</v>
      </c>
      <c r="H44" t="s">
        <v>10</v>
      </c>
      <c r="I44" t="str">
        <f t="shared" si="11"/>
        <v>R</v>
      </c>
      <c r="J44" t="str">
        <f t="shared" si="12"/>
        <v>Yes</v>
      </c>
      <c r="K44">
        <f t="shared" si="4"/>
        <v>1</v>
      </c>
      <c r="L44" t="str">
        <f t="shared" si="13"/>
        <v>Yes</v>
      </c>
      <c r="M44">
        <f t="shared" si="6"/>
        <v>1</v>
      </c>
      <c r="N44" t="s">
        <v>0</v>
      </c>
      <c r="O44" t="s">
        <v>72</v>
      </c>
      <c r="P44" t="s">
        <v>73</v>
      </c>
      <c r="Q44" t="s">
        <v>95</v>
      </c>
    </row>
    <row r="45" spans="1:17" x14ac:dyDescent="0.3">
      <c r="A45" t="s">
        <v>15</v>
      </c>
      <c r="B45" t="s">
        <v>99</v>
      </c>
      <c r="C45" t="s">
        <v>19</v>
      </c>
      <c r="D45" t="s">
        <v>101</v>
      </c>
      <c r="E45" s="1" t="s">
        <v>10</v>
      </c>
      <c r="F45" t="str">
        <f t="shared" si="10"/>
        <v>R</v>
      </c>
      <c r="G45">
        <f t="shared" si="1"/>
        <v>0</v>
      </c>
      <c r="H45" t="s">
        <v>10</v>
      </c>
      <c r="I45" t="str">
        <f t="shared" si="11"/>
        <v>R</v>
      </c>
      <c r="J45" t="str">
        <f t="shared" si="12"/>
        <v>Yes</v>
      </c>
      <c r="K45">
        <f t="shared" si="4"/>
        <v>1</v>
      </c>
      <c r="L45" t="str">
        <f t="shared" si="13"/>
        <v>Yes</v>
      </c>
      <c r="M45">
        <f t="shared" si="6"/>
        <v>1</v>
      </c>
      <c r="N45" t="s">
        <v>0</v>
      </c>
      <c r="O45" t="s">
        <v>72</v>
      </c>
      <c r="P45" t="s">
        <v>73</v>
      </c>
      <c r="Q45" t="s">
        <v>95</v>
      </c>
    </row>
    <row r="46" spans="1:17" x14ac:dyDescent="0.3">
      <c r="A46" t="s">
        <v>21</v>
      </c>
      <c r="B46" t="s">
        <v>102</v>
      </c>
      <c r="C46" t="s">
        <v>23</v>
      </c>
      <c r="D46" t="s">
        <v>79</v>
      </c>
      <c r="E46" s="1" t="s">
        <v>10</v>
      </c>
      <c r="F46" t="str">
        <f t="shared" si="10"/>
        <v>R</v>
      </c>
      <c r="G46">
        <f t="shared" si="1"/>
        <v>0</v>
      </c>
      <c r="H46" t="s">
        <v>10</v>
      </c>
      <c r="I46" t="str">
        <f t="shared" si="11"/>
        <v>R</v>
      </c>
      <c r="J46" t="str">
        <f t="shared" si="12"/>
        <v>Yes</v>
      </c>
      <c r="K46">
        <f t="shared" si="4"/>
        <v>1</v>
      </c>
      <c r="L46" t="str">
        <f t="shared" si="13"/>
        <v>Yes</v>
      </c>
      <c r="M46">
        <f t="shared" si="6"/>
        <v>1</v>
      </c>
      <c r="N46" t="s">
        <v>0</v>
      </c>
      <c r="O46" t="s">
        <v>72</v>
      </c>
      <c r="P46" t="s">
        <v>73</v>
      </c>
      <c r="Q46" t="s">
        <v>95</v>
      </c>
    </row>
    <row r="47" spans="1:17" x14ac:dyDescent="0.3">
      <c r="A47" t="s">
        <v>26</v>
      </c>
      <c r="B47" t="s">
        <v>103</v>
      </c>
      <c r="C47" t="s">
        <v>28</v>
      </c>
      <c r="D47" t="s">
        <v>29</v>
      </c>
      <c r="E47" s="1" t="s">
        <v>10</v>
      </c>
      <c r="F47" t="str">
        <f t="shared" si="10"/>
        <v>R</v>
      </c>
      <c r="G47">
        <f t="shared" si="1"/>
        <v>0</v>
      </c>
      <c r="H47" t="s">
        <v>10</v>
      </c>
      <c r="I47" t="str">
        <f t="shared" si="11"/>
        <v>R</v>
      </c>
      <c r="J47" t="str">
        <f t="shared" si="12"/>
        <v>Yes</v>
      </c>
      <c r="K47">
        <f t="shared" si="4"/>
        <v>1</v>
      </c>
      <c r="L47" t="str">
        <f t="shared" si="13"/>
        <v>Yes</v>
      </c>
      <c r="M47">
        <f t="shared" si="6"/>
        <v>1</v>
      </c>
      <c r="N47" t="s">
        <v>0</v>
      </c>
      <c r="O47" t="s">
        <v>72</v>
      </c>
      <c r="P47" t="s">
        <v>73</v>
      </c>
      <c r="Q47" t="s">
        <v>95</v>
      </c>
    </row>
    <row r="48" spans="1:17" x14ac:dyDescent="0.3">
      <c r="A48" t="s">
        <v>30</v>
      </c>
      <c r="B48" t="s">
        <v>104</v>
      </c>
      <c r="C48" t="s">
        <v>32</v>
      </c>
      <c r="D48" t="s">
        <v>33</v>
      </c>
      <c r="E48" s="1" t="s">
        <v>10</v>
      </c>
      <c r="F48" t="str">
        <f t="shared" si="10"/>
        <v>R</v>
      </c>
      <c r="G48">
        <f t="shared" si="1"/>
        <v>0</v>
      </c>
      <c r="H48" t="s">
        <v>10</v>
      </c>
      <c r="I48" t="str">
        <f t="shared" si="11"/>
        <v>R</v>
      </c>
      <c r="J48" t="str">
        <f t="shared" si="12"/>
        <v>Yes</v>
      </c>
      <c r="K48">
        <f t="shared" si="4"/>
        <v>1</v>
      </c>
      <c r="L48" t="str">
        <f t="shared" si="13"/>
        <v>Yes</v>
      </c>
      <c r="M48">
        <f t="shared" si="6"/>
        <v>1</v>
      </c>
      <c r="N48" t="s">
        <v>0</v>
      </c>
      <c r="O48" t="s">
        <v>72</v>
      </c>
      <c r="P48" t="s">
        <v>73</v>
      </c>
      <c r="Q48" t="s">
        <v>95</v>
      </c>
    </row>
    <row r="49" spans="1:17" x14ac:dyDescent="0.3">
      <c r="A49" t="s">
        <v>30</v>
      </c>
      <c r="B49" t="s">
        <v>104</v>
      </c>
      <c r="C49" t="s">
        <v>34</v>
      </c>
      <c r="D49" t="s">
        <v>105</v>
      </c>
      <c r="E49" s="1" t="s">
        <v>10</v>
      </c>
      <c r="F49" t="str">
        <f t="shared" si="10"/>
        <v>R</v>
      </c>
      <c r="G49">
        <f t="shared" si="1"/>
        <v>0</v>
      </c>
      <c r="H49" t="s">
        <v>59</v>
      </c>
      <c r="I49" t="str">
        <f t="shared" si="11"/>
        <v>CS</v>
      </c>
      <c r="J49" t="str">
        <f t="shared" si="12"/>
        <v>No</v>
      </c>
      <c r="K49">
        <f t="shared" si="4"/>
        <v>0</v>
      </c>
      <c r="L49" t="str">
        <f t="shared" si="13"/>
        <v>No</v>
      </c>
      <c r="M49">
        <f t="shared" si="6"/>
        <v>0</v>
      </c>
      <c r="N49" t="s">
        <v>0</v>
      </c>
      <c r="O49" t="s">
        <v>72</v>
      </c>
      <c r="P49" t="s">
        <v>73</v>
      </c>
      <c r="Q49" t="s">
        <v>95</v>
      </c>
    </row>
    <row r="50" spans="1:17" x14ac:dyDescent="0.3">
      <c r="A50" t="s">
        <v>30</v>
      </c>
      <c r="B50" t="s">
        <v>104</v>
      </c>
      <c r="C50" t="s">
        <v>36</v>
      </c>
      <c r="D50" t="s">
        <v>106</v>
      </c>
      <c r="E50" s="1" t="s">
        <v>10</v>
      </c>
      <c r="F50" t="str">
        <f t="shared" si="10"/>
        <v>R</v>
      </c>
      <c r="G50">
        <f t="shared" si="1"/>
        <v>0</v>
      </c>
      <c r="H50" t="s">
        <v>25</v>
      </c>
      <c r="I50" t="str">
        <f t="shared" si="11"/>
        <v>CS</v>
      </c>
      <c r="J50" t="str">
        <f t="shared" si="12"/>
        <v>No</v>
      </c>
      <c r="K50">
        <f t="shared" si="4"/>
        <v>0</v>
      </c>
      <c r="L50" t="str">
        <f t="shared" si="13"/>
        <v>No</v>
      </c>
      <c r="M50">
        <f t="shared" si="6"/>
        <v>0</v>
      </c>
      <c r="N50" t="s">
        <v>0</v>
      </c>
      <c r="O50" t="s">
        <v>72</v>
      </c>
      <c r="P50" t="s">
        <v>73</v>
      </c>
      <c r="Q50" t="s">
        <v>95</v>
      </c>
    </row>
    <row r="51" spans="1:17" x14ac:dyDescent="0.3">
      <c r="A51" t="s">
        <v>30</v>
      </c>
      <c r="B51" t="s">
        <v>104</v>
      </c>
      <c r="C51" t="s">
        <v>38</v>
      </c>
      <c r="D51" t="s">
        <v>107</v>
      </c>
      <c r="E51" s="1" t="s">
        <v>10</v>
      </c>
      <c r="F51" t="str">
        <f t="shared" si="10"/>
        <v>R</v>
      </c>
      <c r="G51">
        <f t="shared" si="1"/>
        <v>0</v>
      </c>
      <c r="H51" t="s">
        <v>59</v>
      </c>
      <c r="I51" t="str">
        <f t="shared" si="11"/>
        <v>CS</v>
      </c>
      <c r="J51" t="str">
        <f t="shared" si="12"/>
        <v>No</v>
      </c>
      <c r="K51">
        <f t="shared" si="4"/>
        <v>0</v>
      </c>
      <c r="L51" t="str">
        <f t="shared" si="13"/>
        <v>No</v>
      </c>
      <c r="M51">
        <f t="shared" si="6"/>
        <v>0</v>
      </c>
      <c r="N51" t="s">
        <v>0</v>
      </c>
      <c r="O51" t="s">
        <v>72</v>
      </c>
      <c r="P51" t="s">
        <v>73</v>
      </c>
      <c r="Q51" t="s">
        <v>95</v>
      </c>
    </row>
    <row r="52" spans="1:17" x14ac:dyDescent="0.3">
      <c r="A52" t="s">
        <v>40</v>
      </c>
      <c r="B52" t="s">
        <v>108</v>
      </c>
      <c r="C52" t="s">
        <v>42</v>
      </c>
      <c r="D52" t="s">
        <v>109</v>
      </c>
      <c r="E52" s="1" t="s">
        <v>10</v>
      </c>
      <c r="F52" t="str">
        <f t="shared" si="10"/>
        <v>R</v>
      </c>
      <c r="G52">
        <f t="shared" si="1"/>
        <v>0</v>
      </c>
      <c r="H52" t="s">
        <v>44</v>
      </c>
      <c r="I52" t="str">
        <f t="shared" si="11"/>
        <v>CS</v>
      </c>
      <c r="J52" t="str">
        <f t="shared" si="12"/>
        <v>No</v>
      </c>
      <c r="K52">
        <f t="shared" si="4"/>
        <v>0</v>
      </c>
      <c r="L52" t="str">
        <f t="shared" si="13"/>
        <v>No</v>
      </c>
      <c r="M52">
        <f t="shared" si="6"/>
        <v>0</v>
      </c>
      <c r="N52" t="s">
        <v>0</v>
      </c>
      <c r="O52" t="s">
        <v>72</v>
      </c>
      <c r="P52" t="s">
        <v>73</v>
      </c>
      <c r="Q52" t="s">
        <v>95</v>
      </c>
    </row>
    <row r="53" spans="1:17" x14ac:dyDescent="0.3">
      <c r="A53" t="s">
        <v>40</v>
      </c>
      <c r="B53" t="s">
        <v>108</v>
      </c>
      <c r="C53" t="s">
        <v>45</v>
      </c>
      <c r="D53" t="s">
        <v>110</v>
      </c>
      <c r="E53" s="1" t="s">
        <v>10</v>
      </c>
      <c r="F53" t="str">
        <f t="shared" si="10"/>
        <v>R</v>
      </c>
      <c r="G53">
        <f t="shared" si="1"/>
        <v>0</v>
      </c>
      <c r="H53" t="s">
        <v>10</v>
      </c>
      <c r="I53" t="str">
        <f t="shared" si="11"/>
        <v>R</v>
      </c>
      <c r="J53" t="str">
        <f t="shared" si="12"/>
        <v>Yes</v>
      </c>
      <c r="K53">
        <f t="shared" si="4"/>
        <v>1</v>
      </c>
      <c r="L53" t="str">
        <f t="shared" si="13"/>
        <v>Yes</v>
      </c>
      <c r="M53">
        <f t="shared" si="6"/>
        <v>1</v>
      </c>
      <c r="N53" t="s">
        <v>0</v>
      </c>
      <c r="O53" t="s">
        <v>72</v>
      </c>
      <c r="P53" t="s">
        <v>73</v>
      </c>
      <c r="Q53" t="s">
        <v>95</v>
      </c>
    </row>
    <row r="54" spans="1:17" x14ac:dyDescent="0.3">
      <c r="A54" t="s">
        <v>40</v>
      </c>
      <c r="B54" t="s">
        <v>108</v>
      </c>
      <c r="C54" t="s">
        <v>47</v>
      </c>
      <c r="D54" t="s">
        <v>48</v>
      </c>
      <c r="E54" s="1" t="s">
        <v>10</v>
      </c>
      <c r="F54" t="str">
        <f t="shared" si="10"/>
        <v>R</v>
      </c>
      <c r="G54">
        <f t="shared" si="1"/>
        <v>0</v>
      </c>
      <c r="H54" t="s">
        <v>10</v>
      </c>
      <c r="I54" t="str">
        <f t="shared" si="11"/>
        <v>R</v>
      </c>
      <c r="J54" t="str">
        <f t="shared" si="12"/>
        <v>Yes</v>
      </c>
      <c r="K54">
        <f t="shared" si="4"/>
        <v>1</v>
      </c>
      <c r="L54" t="str">
        <f t="shared" si="13"/>
        <v>Yes</v>
      </c>
      <c r="M54">
        <f t="shared" si="6"/>
        <v>1</v>
      </c>
      <c r="N54" t="s">
        <v>0</v>
      </c>
      <c r="O54" t="s">
        <v>72</v>
      </c>
      <c r="P54" t="s">
        <v>73</v>
      </c>
      <c r="Q54" t="s">
        <v>95</v>
      </c>
    </row>
    <row r="55" spans="1:17" x14ac:dyDescent="0.3">
      <c r="A55" t="s">
        <v>40</v>
      </c>
      <c r="B55" t="s">
        <v>108</v>
      </c>
      <c r="C55" t="s">
        <v>49</v>
      </c>
      <c r="D55" t="s">
        <v>50</v>
      </c>
      <c r="E55" s="1" t="s">
        <v>10</v>
      </c>
      <c r="F55" t="str">
        <f t="shared" si="10"/>
        <v>R</v>
      </c>
      <c r="G55">
        <f t="shared" si="1"/>
        <v>0</v>
      </c>
      <c r="H55" t="s">
        <v>10</v>
      </c>
      <c r="I55" t="str">
        <f t="shared" si="11"/>
        <v>R</v>
      </c>
      <c r="J55" t="str">
        <f t="shared" si="12"/>
        <v>Yes</v>
      </c>
      <c r="K55">
        <f t="shared" si="4"/>
        <v>1</v>
      </c>
      <c r="L55" t="str">
        <f t="shared" si="13"/>
        <v>Yes</v>
      </c>
      <c r="M55">
        <f t="shared" si="6"/>
        <v>1</v>
      </c>
      <c r="N55" t="s">
        <v>0</v>
      </c>
      <c r="O55" t="s">
        <v>72</v>
      </c>
      <c r="P55" t="s">
        <v>73</v>
      </c>
      <c r="Q55" t="s">
        <v>95</v>
      </c>
    </row>
    <row r="56" spans="1:17" x14ac:dyDescent="0.3">
      <c r="A56" t="s">
        <v>51</v>
      </c>
      <c r="B56" t="s">
        <v>111</v>
      </c>
      <c r="C56" t="s">
        <v>53</v>
      </c>
      <c r="D56" t="s">
        <v>112</v>
      </c>
      <c r="E56" s="1" t="s">
        <v>10</v>
      </c>
      <c r="F56" t="str">
        <f t="shared" si="10"/>
        <v>R</v>
      </c>
      <c r="G56">
        <f t="shared" si="1"/>
        <v>0</v>
      </c>
      <c r="H56" t="s">
        <v>25</v>
      </c>
      <c r="I56" t="str">
        <f t="shared" si="11"/>
        <v>CS</v>
      </c>
      <c r="J56" t="str">
        <f t="shared" si="12"/>
        <v>No</v>
      </c>
      <c r="K56">
        <f t="shared" si="4"/>
        <v>0</v>
      </c>
      <c r="L56" t="str">
        <f t="shared" si="13"/>
        <v>No</v>
      </c>
      <c r="M56">
        <f t="shared" si="6"/>
        <v>0</v>
      </c>
      <c r="N56" t="s">
        <v>0</v>
      </c>
      <c r="O56" t="s">
        <v>72</v>
      </c>
      <c r="P56" t="s">
        <v>73</v>
      </c>
      <c r="Q56" t="s">
        <v>95</v>
      </c>
    </row>
    <row r="57" spans="1:17" x14ac:dyDescent="0.3">
      <c r="A57" t="s">
        <v>51</v>
      </c>
      <c r="B57" t="s">
        <v>111</v>
      </c>
      <c r="C57" t="s">
        <v>55</v>
      </c>
      <c r="D57" t="s">
        <v>113</v>
      </c>
      <c r="E57" s="1" t="s">
        <v>10</v>
      </c>
      <c r="F57" t="str">
        <f t="shared" si="10"/>
        <v>R</v>
      </c>
      <c r="G57">
        <f t="shared" si="1"/>
        <v>0</v>
      </c>
      <c r="H57" t="s">
        <v>10</v>
      </c>
      <c r="I57" t="str">
        <f t="shared" si="11"/>
        <v>R</v>
      </c>
      <c r="J57" t="str">
        <f t="shared" si="12"/>
        <v>Yes</v>
      </c>
      <c r="K57">
        <f t="shared" si="4"/>
        <v>1</v>
      </c>
      <c r="L57" t="str">
        <f t="shared" si="13"/>
        <v>Yes</v>
      </c>
      <c r="M57">
        <f t="shared" si="6"/>
        <v>1</v>
      </c>
      <c r="N57" t="s">
        <v>0</v>
      </c>
      <c r="O57" t="s">
        <v>72</v>
      </c>
      <c r="P57" t="s">
        <v>73</v>
      </c>
      <c r="Q57" t="s">
        <v>95</v>
      </c>
    </row>
    <row r="58" spans="1:17" x14ac:dyDescent="0.3">
      <c r="A58" t="s">
        <v>51</v>
      </c>
      <c r="B58" t="s">
        <v>111</v>
      </c>
      <c r="C58" t="s">
        <v>57</v>
      </c>
      <c r="D58" t="s">
        <v>58</v>
      </c>
      <c r="E58" s="1" t="s">
        <v>59</v>
      </c>
      <c r="F58" t="str">
        <f t="shared" si="10"/>
        <v>CS</v>
      </c>
      <c r="G58">
        <f t="shared" si="1"/>
        <v>1</v>
      </c>
      <c r="H58" t="s">
        <v>10</v>
      </c>
      <c r="I58" t="str">
        <f t="shared" si="11"/>
        <v>R</v>
      </c>
      <c r="J58" t="str">
        <f t="shared" si="12"/>
        <v>No</v>
      </c>
      <c r="K58">
        <f t="shared" si="4"/>
        <v>0</v>
      </c>
      <c r="L58" t="str">
        <f t="shared" si="13"/>
        <v>No</v>
      </c>
      <c r="M58">
        <f t="shared" si="6"/>
        <v>0</v>
      </c>
      <c r="N58" t="s">
        <v>0</v>
      </c>
      <c r="O58" t="s">
        <v>72</v>
      </c>
      <c r="P58" t="s">
        <v>73</v>
      </c>
      <c r="Q58" t="s">
        <v>95</v>
      </c>
    </row>
    <row r="59" spans="1:17" x14ac:dyDescent="0.3">
      <c r="A59" t="s">
        <v>60</v>
      </c>
      <c r="B59" t="s">
        <v>114</v>
      </c>
      <c r="C59" t="s">
        <v>62</v>
      </c>
      <c r="D59" t="s">
        <v>63</v>
      </c>
      <c r="E59" s="1" t="s">
        <v>59</v>
      </c>
      <c r="F59" t="str">
        <f t="shared" si="10"/>
        <v>CS</v>
      </c>
      <c r="G59">
        <f t="shared" si="1"/>
        <v>1</v>
      </c>
      <c r="H59" t="s">
        <v>10</v>
      </c>
      <c r="I59" t="str">
        <f t="shared" si="11"/>
        <v>R</v>
      </c>
      <c r="J59" t="str">
        <f t="shared" si="12"/>
        <v>No</v>
      </c>
      <c r="K59">
        <f t="shared" si="4"/>
        <v>0</v>
      </c>
      <c r="L59" t="str">
        <f t="shared" si="13"/>
        <v>No</v>
      </c>
      <c r="M59">
        <f t="shared" si="6"/>
        <v>0</v>
      </c>
      <c r="N59" t="s">
        <v>0</v>
      </c>
      <c r="O59" t="s">
        <v>72</v>
      </c>
      <c r="P59" t="s">
        <v>73</v>
      </c>
      <c r="Q59" t="s">
        <v>95</v>
      </c>
    </row>
    <row r="60" spans="1:17" x14ac:dyDescent="0.3">
      <c r="A60" t="s">
        <v>60</v>
      </c>
      <c r="B60" t="s">
        <v>114</v>
      </c>
      <c r="C60" t="s">
        <v>64</v>
      </c>
      <c r="D60" t="s">
        <v>115</v>
      </c>
      <c r="E60" s="1" t="s">
        <v>59</v>
      </c>
      <c r="F60" t="str">
        <f t="shared" si="10"/>
        <v>CS</v>
      </c>
      <c r="G60">
        <f t="shared" si="1"/>
        <v>1</v>
      </c>
      <c r="H60" t="s">
        <v>59</v>
      </c>
      <c r="I60" t="str">
        <f t="shared" si="11"/>
        <v>CS</v>
      </c>
      <c r="J60" t="str">
        <f t="shared" si="12"/>
        <v>Yes</v>
      </c>
      <c r="K60">
        <f t="shared" si="4"/>
        <v>1</v>
      </c>
      <c r="L60" t="str">
        <f t="shared" si="13"/>
        <v>Yes</v>
      </c>
      <c r="M60">
        <f t="shared" si="6"/>
        <v>1</v>
      </c>
      <c r="N60" t="s">
        <v>0</v>
      </c>
      <c r="O60" t="s">
        <v>72</v>
      </c>
      <c r="P60" t="s">
        <v>73</v>
      </c>
      <c r="Q60" t="s">
        <v>95</v>
      </c>
    </row>
    <row r="61" spans="1:17" x14ac:dyDescent="0.3">
      <c r="A61" t="s">
        <v>60</v>
      </c>
      <c r="B61" t="s">
        <v>114</v>
      </c>
      <c r="C61" t="s">
        <v>66</v>
      </c>
      <c r="D61" t="s">
        <v>67</v>
      </c>
      <c r="E61" s="1" t="s">
        <v>10</v>
      </c>
      <c r="F61" t="str">
        <f t="shared" si="10"/>
        <v>R</v>
      </c>
      <c r="G61">
        <f t="shared" si="1"/>
        <v>0</v>
      </c>
      <c r="H61" t="s">
        <v>10</v>
      </c>
      <c r="I61" t="str">
        <f t="shared" si="11"/>
        <v>R</v>
      </c>
      <c r="J61" t="str">
        <f t="shared" si="12"/>
        <v>Yes</v>
      </c>
      <c r="K61">
        <f t="shared" si="4"/>
        <v>1</v>
      </c>
      <c r="L61" t="str">
        <f t="shared" si="13"/>
        <v>Yes</v>
      </c>
      <c r="M61">
        <f t="shared" si="6"/>
        <v>1</v>
      </c>
      <c r="N61" t="s">
        <v>0</v>
      </c>
      <c r="O61" t="s">
        <v>72</v>
      </c>
      <c r="P61" t="s">
        <v>73</v>
      </c>
      <c r="Q61" t="s">
        <v>95</v>
      </c>
    </row>
    <row r="62" spans="1:17" x14ac:dyDescent="0.3">
      <c r="A62" t="s">
        <v>116</v>
      </c>
      <c r="B62" t="s">
        <v>117</v>
      </c>
      <c r="C62" t="s">
        <v>118</v>
      </c>
      <c r="D62" t="s">
        <v>119</v>
      </c>
      <c r="E62" t="s">
        <v>10</v>
      </c>
      <c r="F62" t="str">
        <f>IF(E62="R", "R", "CS")</f>
        <v>R</v>
      </c>
      <c r="G62">
        <f t="shared" si="1"/>
        <v>0</v>
      </c>
      <c r="H62" t="s">
        <v>10</v>
      </c>
      <c r="I62" t="str">
        <f>IF(H62="R", "R", "CS")</f>
        <v>R</v>
      </c>
      <c r="J62" t="str">
        <f>IF(F62=I62, "Yes", "No")</f>
        <v>Yes</v>
      </c>
      <c r="K62">
        <f t="shared" si="4"/>
        <v>1</v>
      </c>
      <c r="L62" t="str">
        <f>IF(E62=H62, "Yes", "No")</f>
        <v>Yes</v>
      </c>
      <c r="M62">
        <f t="shared" si="6"/>
        <v>1</v>
      </c>
      <c r="N62" t="s">
        <v>0</v>
      </c>
      <c r="O62" t="s">
        <v>72</v>
      </c>
      <c r="P62" t="s">
        <v>191</v>
      </c>
      <c r="Q62" t="s">
        <v>3</v>
      </c>
    </row>
    <row r="63" spans="1:17" x14ac:dyDescent="0.3">
      <c r="A63" t="s">
        <v>120</v>
      </c>
      <c r="B63" t="s">
        <v>121</v>
      </c>
      <c r="C63" t="s">
        <v>122</v>
      </c>
      <c r="D63" t="s">
        <v>123</v>
      </c>
      <c r="E63" t="s">
        <v>10</v>
      </c>
      <c r="F63" t="str">
        <f t="shared" ref="F63:F84" si="14">IF(E63="R", "R", "CS")</f>
        <v>R</v>
      </c>
      <c r="G63">
        <f t="shared" si="1"/>
        <v>0</v>
      </c>
      <c r="H63" t="s">
        <v>10</v>
      </c>
      <c r="I63" t="str">
        <f t="shared" ref="I63:I84" si="15">IF(H63="R", "R", "CS")</f>
        <v>R</v>
      </c>
      <c r="J63" t="str">
        <f t="shared" ref="J63:J84" si="16">IF(F63=I63, "Yes", "No")</f>
        <v>Yes</v>
      </c>
      <c r="K63">
        <f t="shared" si="4"/>
        <v>1</v>
      </c>
      <c r="L63" t="str">
        <f t="shared" ref="L63:L84" si="17">IF(E63=H63, "Yes", "No")</f>
        <v>Yes</v>
      </c>
      <c r="M63">
        <f t="shared" si="6"/>
        <v>1</v>
      </c>
      <c r="N63" t="s">
        <v>0</v>
      </c>
      <c r="O63" t="s">
        <v>72</v>
      </c>
      <c r="P63" t="s">
        <v>191</v>
      </c>
      <c r="Q63" t="s">
        <v>3</v>
      </c>
    </row>
    <row r="64" spans="1:17" x14ac:dyDescent="0.3">
      <c r="A64" t="s">
        <v>124</v>
      </c>
      <c r="B64" t="s">
        <v>125</v>
      </c>
      <c r="C64" t="s">
        <v>126</v>
      </c>
      <c r="D64" t="s">
        <v>127</v>
      </c>
      <c r="E64" t="s">
        <v>10</v>
      </c>
      <c r="F64" t="str">
        <f t="shared" si="14"/>
        <v>R</v>
      </c>
      <c r="G64">
        <f t="shared" si="1"/>
        <v>0</v>
      </c>
      <c r="H64" t="s">
        <v>25</v>
      </c>
      <c r="I64" t="str">
        <f t="shared" si="15"/>
        <v>CS</v>
      </c>
      <c r="J64" t="str">
        <f t="shared" si="16"/>
        <v>No</v>
      </c>
      <c r="K64">
        <f t="shared" si="4"/>
        <v>0</v>
      </c>
      <c r="L64" t="str">
        <f t="shared" si="17"/>
        <v>No</v>
      </c>
      <c r="M64">
        <f t="shared" si="6"/>
        <v>0</v>
      </c>
      <c r="N64" t="s">
        <v>0</v>
      </c>
      <c r="O64" t="s">
        <v>72</v>
      </c>
      <c r="P64" t="s">
        <v>191</v>
      </c>
      <c r="Q64" t="s">
        <v>3</v>
      </c>
    </row>
    <row r="65" spans="1:17" x14ac:dyDescent="0.3">
      <c r="A65" t="s">
        <v>128</v>
      </c>
      <c r="B65" t="s">
        <v>129</v>
      </c>
      <c r="C65" t="s">
        <v>130</v>
      </c>
      <c r="D65" t="s">
        <v>131</v>
      </c>
      <c r="E65" t="s">
        <v>10</v>
      </c>
      <c r="F65" t="str">
        <f t="shared" si="14"/>
        <v>R</v>
      </c>
      <c r="G65">
        <f t="shared" si="1"/>
        <v>0</v>
      </c>
      <c r="H65" t="s">
        <v>10</v>
      </c>
      <c r="I65" t="str">
        <f t="shared" si="15"/>
        <v>R</v>
      </c>
      <c r="J65" t="str">
        <f t="shared" si="16"/>
        <v>Yes</v>
      </c>
      <c r="K65">
        <f t="shared" si="4"/>
        <v>1</v>
      </c>
      <c r="L65" t="str">
        <f t="shared" si="17"/>
        <v>Yes</v>
      </c>
      <c r="M65">
        <f t="shared" si="6"/>
        <v>1</v>
      </c>
      <c r="N65" t="s">
        <v>0</v>
      </c>
      <c r="O65" t="s">
        <v>72</v>
      </c>
      <c r="P65" t="s">
        <v>191</v>
      </c>
      <c r="Q65" t="s">
        <v>3</v>
      </c>
    </row>
    <row r="66" spans="1:17" x14ac:dyDescent="0.3">
      <c r="A66" t="s">
        <v>128</v>
      </c>
      <c r="B66" t="s">
        <v>129</v>
      </c>
      <c r="C66" t="s">
        <v>132</v>
      </c>
      <c r="D66" t="s">
        <v>133</v>
      </c>
      <c r="E66" t="s">
        <v>10</v>
      </c>
      <c r="F66" t="str">
        <f t="shared" si="14"/>
        <v>R</v>
      </c>
      <c r="G66">
        <f t="shared" si="1"/>
        <v>0</v>
      </c>
      <c r="H66" t="s">
        <v>10</v>
      </c>
      <c r="I66" t="str">
        <f t="shared" si="15"/>
        <v>R</v>
      </c>
      <c r="J66" t="str">
        <f t="shared" si="16"/>
        <v>Yes</v>
      </c>
      <c r="K66">
        <f t="shared" si="4"/>
        <v>1</v>
      </c>
      <c r="L66" t="str">
        <f t="shared" si="17"/>
        <v>Yes</v>
      </c>
      <c r="M66">
        <f t="shared" si="6"/>
        <v>1</v>
      </c>
      <c r="N66" t="s">
        <v>0</v>
      </c>
      <c r="O66" t="s">
        <v>72</v>
      </c>
      <c r="P66" t="s">
        <v>191</v>
      </c>
      <c r="Q66" t="s">
        <v>3</v>
      </c>
    </row>
    <row r="67" spans="1:17" x14ac:dyDescent="0.3">
      <c r="A67" t="s">
        <v>128</v>
      </c>
      <c r="B67" t="s">
        <v>129</v>
      </c>
      <c r="C67" t="s">
        <v>134</v>
      </c>
      <c r="D67" t="s">
        <v>135</v>
      </c>
      <c r="E67" t="s">
        <v>10</v>
      </c>
      <c r="F67" t="str">
        <f t="shared" si="14"/>
        <v>R</v>
      </c>
      <c r="G67">
        <f t="shared" ref="G67:G130" si="18">IF(F67="R",0,(IF(F67="CS",1,"HELP")))</f>
        <v>0</v>
      </c>
      <c r="H67" t="s">
        <v>10</v>
      </c>
      <c r="I67" t="str">
        <f t="shared" si="15"/>
        <v>R</v>
      </c>
      <c r="J67" t="str">
        <f t="shared" si="16"/>
        <v>Yes</v>
      </c>
      <c r="K67">
        <f t="shared" ref="K67:K130" si="19">IF(J67="Yes", 1, 0)</f>
        <v>1</v>
      </c>
      <c r="L67" t="str">
        <f t="shared" si="17"/>
        <v>Yes</v>
      </c>
      <c r="M67">
        <f t="shared" ref="M67:M130" si="20">IF(L67="Yes", 1, 0)</f>
        <v>1</v>
      </c>
      <c r="N67" t="s">
        <v>0</v>
      </c>
      <c r="O67" t="s">
        <v>72</v>
      </c>
      <c r="P67" t="s">
        <v>191</v>
      </c>
      <c r="Q67" t="s">
        <v>3</v>
      </c>
    </row>
    <row r="68" spans="1:17" x14ac:dyDescent="0.3">
      <c r="A68" t="s">
        <v>136</v>
      </c>
      <c r="B68" t="s">
        <v>137</v>
      </c>
      <c r="C68" t="s">
        <v>138</v>
      </c>
      <c r="D68" t="s">
        <v>139</v>
      </c>
      <c r="E68" t="s">
        <v>10</v>
      </c>
      <c r="F68" t="str">
        <f t="shared" si="14"/>
        <v>R</v>
      </c>
      <c r="G68">
        <f t="shared" si="18"/>
        <v>0</v>
      </c>
      <c r="H68" t="s">
        <v>10</v>
      </c>
      <c r="I68" t="str">
        <f t="shared" si="15"/>
        <v>R</v>
      </c>
      <c r="J68" t="str">
        <f t="shared" si="16"/>
        <v>Yes</v>
      </c>
      <c r="K68">
        <f t="shared" si="19"/>
        <v>1</v>
      </c>
      <c r="L68" t="str">
        <f t="shared" si="17"/>
        <v>Yes</v>
      </c>
      <c r="M68">
        <f t="shared" si="20"/>
        <v>1</v>
      </c>
      <c r="N68" t="s">
        <v>0</v>
      </c>
      <c r="O68" t="s">
        <v>72</v>
      </c>
      <c r="P68" t="s">
        <v>191</v>
      </c>
      <c r="Q68" t="s">
        <v>3</v>
      </c>
    </row>
    <row r="69" spans="1:17" x14ac:dyDescent="0.3">
      <c r="A69" t="s">
        <v>140</v>
      </c>
      <c r="B69" t="s">
        <v>141</v>
      </c>
      <c r="C69" t="s">
        <v>142</v>
      </c>
      <c r="D69" t="s">
        <v>143</v>
      </c>
      <c r="E69" t="s">
        <v>10</v>
      </c>
      <c r="F69" t="str">
        <f t="shared" si="14"/>
        <v>R</v>
      </c>
      <c r="G69">
        <f t="shared" si="18"/>
        <v>0</v>
      </c>
      <c r="H69" t="s">
        <v>144</v>
      </c>
      <c r="I69" t="s">
        <v>144</v>
      </c>
      <c r="J69" t="str">
        <f t="shared" si="16"/>
        <v>No</v>
      </c>
      <c r="K69">
        <f t="shared" si="19"/>
        <v>0</v>
      </c>
      <c r="L69" t="str">
        <f t="shared" si="17"/>
        <v>No</v>
      </c>
      <c r="M69">
        <f t="shared" si="20"/>
        <v>0</v>
      </c>
      <c r="N69" t="s">
        <v>0</v>
      </c>
      <c r="O69" t="s">
        <v>72</v>
      </c>
      <c r="P69" t="s">
        <v>191</v>
      </c>
      <c r="Q69" t="s">
        <v>3</v>
      </c>
    </row>
    <row r="70" spans="1:17" x14ac:dyDescent="0.3">
      <c r="A70" t="s">
        <v>145</v>
      </c>
      <c r="B70" t="s">
        <v>146</v>
      </c>
      <c r="C70" t="s">
        <v>147</v>
      </c>
      <c r="E70" t="s">
        <v>144</v>
      </c>
      <c r="F70" t="s">
        <v>144</v>
      </c>
      <c r="G70">
        <v>2</v>
      </c>
      <c r="H70" t="s">
        <v>10</v>
      </c>
      <c r="I70" t="str">
        <f t="shared" si="15"/>
        <v>R</v>
      </c>
      <c r="J70" t="str">
        <f t="shared" si="16"/>
        <v>No</v>
      </c>
      <c r="K70">
        <f t="shared" si="19"/>
        <v>0</v>
      </c>
      <c r="L70" t="str">
        <f t="shared" si="17"/>
        <v>No</v>
      </c>
      <c r="M70">
        <f t="shared" si="20"/>
        <v>0</v>
      </c>
      <c r="N70" t="s">
        <v>0</v>
      </c>
      <c r="O70" t="s">
        <v>72</v>
      </c>
      <c r="P70" t="s">
        <v>191</v>
      </c>
      <c r="Q70" t="s">
        <v>3</v>
      </c>
    </row>
    <row r="71" spans="1:17" x14ac:dyDescent="0.3">
      <c r="A71" t="s">
        <v>148</v>
      </c>
      <c r="B71" t="s">
        <v>149</v>
      </c>
      <c r="C71" t="s">
        <v>150</v>
      </c>
      <c r="D71" t="s">
        <v>151</v>
      </c>
      <c r="E71" t="s">
        <v>10</v>
      </c>
      <c r="F71" t="str">
        <f t="shared" si="14"/>
        <v>R</v>
      </c>
      <c r="G71">
        <f t="shared" si="18"/>
        <v>0</v>
      </c>
      <c r="H71" t="s">
        <v>10</v>
      </c>
      <c r="I71" t="str">
        <f t="shared" si="15"/>
        <v>R</v>
      </c>
      <c r="J71" t="str">
        <f t="shared" si="16"/>
        <v>Yes</v>
      </c>
      <c r="K71">
        <f t="shared" si="19"/>
        <v>1</v>
      </c>
      <c r="L71" t="str">
        <f t="shared" si="17"/>
        <v>Yes</v>
      </c>
      <c r="M71">
        <f t="shared" si="20"/>
        <v>1</v>
      </c>
      <c r="N71" t="s">
        <v>0</v>
      </c>
      <c r="O71" t="s">
        <v>72</v>
      </c>
      <c r="P71" t="s">
        <v>191</v>
      </c>
      <c r="Q71" t="s">
        <v>3</v>
      </c>
    </row>
    <row r="72" spans="1:17" x14ac:dyDescent="0.3">
      <c r="A72" t="s">
        <v>148</v>
      </c>
      <c r="B72" t="s">
        <v>149</v>
      </c>
      <c r="C72" t="s">
        <v>152</v>
      </c>
      <c r="D72" t="s">
        <v>153</v>
      </c>
      <c r="E72" t="s">
        <v>10</v>
      </c>
      <c r="F72" t="str">
        <f t="shared" si="14"/>
        <v>R</v>
      </c>
      <c r="G72">
        <f t="shared" si="18"/>
        <v>0</v>
      </c>
      <c r="H72" t="s">
        <v>144</v>
      </c>
      <c r="I72" t="s">
        <v>144</v>
      </c>
      <c r="J72" t="str">
        <f t="shared" si="16"/>
        <v>No</v>
      </c>
      <c r="K72">
        <f t="shared" si="19"/>
        <v>0</v>
      </c>
      <c r="L72" t="str">
        <f t="shared" si="17"/>
        <v>No</v>
      </c>
      <c r="M72">
        <f t="shared" si="20"/>
        <v>0</v>
      </c>
      <c r="N72" t="s">
        <v>0</v>
      </c>
      <c r="O72" t="s">
        <v>72</v>
      </c>
      <c r="P72" t="s">
        <v>191</v>
      </c>
      <c r="Q72" t="s">
        <v>3</v>
      </c>
    </row>
    <row r="73" spans="1:17" x14ac:dyDescent="0.3">
      <c r="A73" t="s">
        <v>154</v>
      </c>
      <c r="B73" t="s">
        <v>155</v>
      </c>
      <c r="C73" t="s">
        <v>156</v>
      </c>
      <c r="D73" t="s">
        <v>157</v>
      </c>
      <c r="E73" t="s">
        <v>10</v>
      </c>
      <c r="F73" t="str">
        <f t="shared" si="14"/>
        <v>R</v>
      </c>
      <c r="G73">
        <f t="shared" si="18"/>
        <v>0</v>
      </c>
      <c r="H73" t="s">
        <v>10</v>
      </c>
      <c r="I73" t="str">
        <f t="shared" si="15"/>
        <v>R</v>
      </c>
      <c r="J73" t="str">
        <f t="shared" si="16"/>
        <v>Yes</v>
      </c>
      <c r="K73">
        <f t="shared" si="19"/>
        <v>1</v>
      </c>
      <c r="L73" t="str">
        <f t="shared" si="17"/>
        <v>Yes</v>
      </c>
      <c r="M73">
        <f t="shared" si="20"/>
        <v>1</v>
      </c>
      <c r="N73" t="s">
        <v>0</v>
      </c>
      <c r="O73" t="s">
        <v>72</v>
      </c>
      <c r="P73" t="s">
        <v>191</v>
      </c>
      <c r="Q73" t="s">
        <v>3</v>
      </c>
    </row>
    <row r="74" spans="1:17" x14ac:dyDescent="0.3">
      <c r="A74" t="s">
        <v>154</v>
      </c>
      <c r="B74" t="s">
        <v>155</v>
      </c>
      <c r="C74" t="s">
        <v>158</v>
      </c>
      <c r="D74" t="s">
        <v>159</v>
      </c>
      <c r="E74" t="s">
        <v>10</v>
      </c>
      <c r="F74" t="str">
        <f t="shared" si="14"/>
        <v>R</v>
      </c>
      <c r="G74">
        <f t="shared" si="18"/>
        <v>0</v>
      </c>
      <c r="H74" t="s">
        <v>10</v>
      </c>
      <c r="I74" t="str">
        <f t="shared" si="15"/>
        <v>R</v>
      </c>
      <c r="J74" t="str">
        <f t="shared" si="16"/>
        <v>Yes</v>
      </c>
      <c r="K74">
        <f t="shared" si="19"/>
        <v>1</v>
      </c>
      <c r="L74" t="str">
        <f t="shared" si="17"/>
        <v>Yes</v>
      </c>
      <c r="M74">
        <f t="shared" si="20"/>
        <v>1</v>
      </c>
      <c r="N74" t="s">
        <v>0</v>
      </c>
      <c r="O74" t="s">
        <v>72</v>
      </c>
      <c r="P74" t="s">
        <v>191</v>
      </c>
      <c r="Q74" t="s">
        <v>3</v>
      </c>
    </row>
    <row r="75" spans="1:17" x14ac:dyDescent="0.3">
      <c r="A75" t="s">
        <v>160</v>
      </c>
      <c r="B75" t="s">
        <v>161</v>
      </c>
      <c r="C75" t="s">
        <v>162</v>
      </c>
      <c r="D75" t="s">
        <v>163</v>
      </c>
      <c r="E75" t="s">
        <v>10</v>
      </c>
      <c r="F75" t="str">
        <f t="shared" si="14"/>
        <v>R</v>
      </c>
      <c r="G75">
        <f t="shared" si="18"/>
        <v>0</v>
      </c>
      <c r="H75" t="s">
        <v>10</v>
      </c>
      <c r="I75" t="str">
        <f t="shared" si="15"/>
        <v>R</v>
      </c>
      <c r="J75" t="str">
        <f t="shared" si="16"/>
        <v>Yes</v>
      </c>
      <c r="K75">
        <f t="shared" si="19"/>
        <v>1</v>
      </c>
      <c r="L75" t="str">
        <f t="shared" si="17"/>
        <v>Yes</v>
      </c>
      <c r="M75">
        <f t="shared" si="20"/>
        <v>1</v>
      </c>
      <c r="N75" t="s">
        <v>0</v>
      </c>
      <c r="O75" t="s">
        <v>72</v>
      </c>
      <c r="P75" t="s">
        <v>191</v>
      </c>
      <c r="Q75" t="s">
        <v>3</v>
      </c>
    </row>
    <row r="76" spans="1:17" x14ac:dyDescent="0.3">
      <c r="A76" t="s">
        <v>164</v>
      </c>
      <c r="B76" t="s">
        <v>165</v>
      </c>
      <c r="C76" t="s">
        <v>166</v>
      </c>
      <c r="D76" t="s">
        <v>167</v>
      </c>
      <c r="E76" t="s">
        <v>10</v>
      </c>
      <c r="F76" t="str">
        <f t="shared" si="14"/>
        <v>R</v>
      </c>
      <c r="G76">
        <f t="shared" si="18"/>
        <v>0</v>
      </c>
      <c r="H76" t="s">
        <v>10</v>
      </c>
      <c r="I76" t="str">
        <f t="shared" si="15"/>
        <v>R</v>
      </c>
      <c r="J76" t="str">
        <f t="shared" si="16"/>
        <v>Yes</v>
      </c>
      <c r="K76">
        <f t="shared" si="19"/>
        <v>1</v>
      </c>
      <c r="L76" t="str">
        <f t="shared" si="17"/>
        <v>Yes</v>
      </c>
      <c r="M76">
        <f t="shared" si="20"/>
        <v>1</v>
      </c>
      <c r="N76" t="s">
        <v>0</v>
      </c>
      <c r="O76" t="s">
        <v>72</v>
      </c>
      <c r="P76" t="s">
        <v>191</v>
      </c>
      <c r="Q76" t="s">
        <v>3</v>
      </c>
    </row>
    <row r="77" spans="1:17" x14ac:dyDescent="0.3">
      <c r="A77" t="s">
        <v>168</v>
      </c>
      <c r="B77" t="s">
        <v>169</v>
      </c>
      <c r="C77" t="s">
        <v>170</v>
      </c>
      <c r="D77" t="s">
        <v>171</v>
      </c>
      <c r="E77" t="s">
        <v>172</v>
      </c>
      <c r="F77" t="str">
        <f t="shared" si="14"/>
        <v>CS</v>
      </c>
      <c r="G77">
        <f t="shared" si="18"/>
        <v>1</v>
      </c>
      <c r="H77" t="s">
        <v>25</v>
      </c>
      <c r="I77" t="str">
        <f t="shared" si="15"/>
        <v>CS</v>
      </c>
      <c r="J77" t="str">
        <f t="shared" si="16"/>
        <v>Yes</v>
      </c>
      <c r="K77">
        <f t="shared" si="19"/>
        <v>1</v>
      </c>
      <c r="L77" t="str">
        <f t="shared" si="17"/>
        <v>No</v>
      </c>
      <c r="M77">
        <f t="shared" si="20"/>
        <v>0</v>
      </c>
      <c r="N77" t="s">
        <v>0</v>
      </c>
      <c r="O77" t="s">
        <v>72</v>
      </c>
      <c r="P77" t="s">
        <v>191</v>
      </c>
      <c r="Q77" t="s">
        <v>3</v>
      </c>
    </row>
    <row r="78" spans="1:17" x14ac:dyDescent="0.3">
      <c r="A78" t="s">
        <v>173</v>
      </c>
      <c r="B78" t="s">
        <v>174</v>
      </c>
      <c r="C78" t="s">
        <v>175</v>
      </c>
      <c r="D78" t="s">
        <v>176</v>
      </c>
      <c r="E78" t="s">
        <v>172</v>
      </c>
      <c r="F78" t="str">
        <f t="shared" si="14"/>
        <v>CS</v>
      </c>
      <c r="G78">
        <f t="shared" si="18"/>
        <v>1</v>
      </c>
      <c r="H78" t="s">
        <v>10</v>
      </c>
      <c r="I78" t="str">
        <f t="shared" si="15"/>
        <v>R</v>
      </c>
      <c r="J78" t="str">
        <f t="shared" si="16"/>
        <v>No</v>
      </c>
      <c r="K78">
        <f t="shared" si="19"/>
        <v>0</v>
      </c>
      <c r="L78" t="str">
        <f t="shared" si="17"/>
        <v>No</v>
      </c>
      <c r="M78">
        <f t="shared" si="20"/>
        <v>0</v>
      </c>
      <c r="N78" t="s">
        <v>0</v>
      </c>
      <c r="O78" t="s">
        <v>72</v>
      </c>
      <c r="P78" t="s">
        <v>191</v>
      </c>
      <c r="Q78" t="s">
        <v>3</v>
      </c>
    </row>
    <row r="79" spans="1:17" x14ac:dyDescent="0.3">
      <c r="A79" t="s">
        <v>173</v>
      </c>
      <c r="B79" t="s">
        <v>174</v>
      </c>
      <c r="C79" t="s">
        <v>177</v>
      </c>
      <c r="D79" t="s">
        <v>178</v>
      </c>
      <c r="E79" t="s">
        <v>10</v>
      </c>
      <c r="F79" t="str">
        <f t="shared" si="14"/>
        <v>R</v>
      </c>
      <c r="G79">
        <f t="shared" si="18"/>
        <v>0</v>
      </c>
      <c r="H79" t="s">
        <v>10</v>
      </c>
      <c r="I79" t="str">
        <f t="shared" si="15"/>
        <v>R</v>
      </c>
      <c r="J79" t="str">
        <f t="shared" si="16"/>
        <v>Yes</v>
      </c>
      <c r="K79">
        <f t="shared" si="19"/>
        <v>1</v>
      </c>
      <c r="L79" t="str">
        <f t="shared" si="17"/>
        <v>Yes</v>
      </c>
      <c r="M79">
        <f t="shared" si="20"/>
        <v>1</v>
      </c>
      <c r="N79" t="s">
        <v>0</v>
      </c>
      <c r="O79" t="s">
        <v>72</v>
      </c>
      <c r="P79" t="s">
        <v>191</v>
      </c>
      <c r="Q79" t="s">
        <v>3</v>
      </c>
    </row>
    <row r="80" spans="1:17" x14ac:dyDescent="0.3">
      <c r="A80" t="s">
        <v>179</v>
      </c>
      <c r="B80" t="s">
        <v>180</v>
      </c>
      <c r="C80" t="s">
        <v>181</v>
      </c>
      <c r="D80" t="s">
        <v>182</v>
      </c>
      <c r="E80" t="s">
        <v>10</v>
      </c>
      <c r="F80" t="str">
        <f t="shared" si="14"/>
        <v>R</v>
      </c>
      <c r="G80">
        <f t="shared" si="18"/>
        <v>0</v>
      </c>
      <c r="H80" t="s">
        <v>10</v>
      </c>
      <c r="I80" t="str">
        <f t="shared" si="15"/>
        <v>R</v>
      </c>
      <c r="J80" t="str">
        <f t="shared" si="16"/>
        <v>Yes</v>
      </c>
      <c r="K80">
        <f t="shared" si="19"/>
        <v>1</v>
      </c>
      <c r="L80" t="str">
        <f t="shared" si="17"/>
        <v>Yes</v>
      </c>
      <c r="M80">
        <f t="shared" si="20"/>
        <v>1</v>
      </c>
      <c r="N80" t="s">
        <v>0</v>
      </c>
      <c r="O80" t="s">
        <v>72</v>
      </c>
      <c r="P80" t="s">
        <v>191</v>
      </c>
      <c r="Q80" t="s">
        <v>3</v>
      </c>
    </row>
    <row r="81" spans="1:17" x14ac:dyDescent="0.3">
      <c r="A81" t="s">
        <v>179</v>
      </c>
      <c r="B81" t="s">
        <v>180</v>
      </c>
      <c r="C81" t="s">
        <v>183</v>
      </c>
      <c r="D81" t="s">
        <v>184</v>
      </c>
      <c r="E81" t="s">
        <v>10</v>
      </c>
      <c r="F81" t="str">
        <f t="shared" si="14"/>
        <v>R</v>
      </c>
      <c r="G81">
        <f t="shared" si="18"/>
        <v>0</v>
      </c>
      <c r="H81" t="s">
        <v>10</v>
      </c>
      <c r="I81" t="str">
        <f t="shared" si="15"/>
        <v>R</v>
      </c>
      <c r="J81" t="str">
        <f t="shared" si="16"/>
        <v>Yes</v>
      </c>
      <c r="K81">
        <f t="shared" si="19"/>
        <v>1</v>
      </c>
      <c r="L81" t="str">
        <f t="shared" si="17"/>
        <v>Yes</v>
      </c>
      <c r="M81">
        <f t="shared" si="20"/>
        <v>1</v>
      </c>
      <c r="N81" t="s">
        <v>0</v>
      </c>
      <c r="O81" t="s">
        <v>72</v>
      </c>
      <c r="P81" t="s">
        <v>191</v>
      </c>
      <c r="Q81" t="s">
        <v>3</v>
      </c>
    </row>
    <row r="82" spans="1:17" x14ac:dyDescent="0.3">
      <c r="A82" t="s">
        <v>179</v>
      </c>
      <c r="B82" t="s">
        <v>180</v>
      </c>
      <c r="C82" t="s">
        <v>185</v>
      </c>
      <c r="D82" t="s">
        <v>186</v>
      </c>
      <c r="E82" t="s">
        <v>10</v>
      </c>
      <c r="F82" t="str">
        <f t="shared" si="14"/>
        <v>R</v>
      </c>
      <c r="G82">
        <f t="shared" si="18"/>
        <v>0</v>
      </c>
      <c r="H82" t="s">
        <v>10</v>
      </c>
      <c r="I82" t="str">
        <f t="shared" si="15"/>
        <v>R</v>
      </c>
      <c r="J82" t="str">
        <f t="shared" si="16"/>
        <v>Yes</v>
      </c>
      <c r="K82">
        <f t="shared" si="19"/>
        <v>1</v>
      </c>
      <c r="L82" t="str">
        <f t="shared" si="17"/>
        <v>Yes</v>
      </c>
      <c r="M82">
        <f t="shared" si="20"/>
        <v>1</v>
      </c>
      <c r="N82" t="s">
        <v>0</v>
      </c>
      <c r="O82" t="s">
        <v>72</v>
      </c>
      <c r="P82" t="s">
        <v>191</v>
      </c>
      <c r="Q82" t="s">
        <v>3</v>
      </c>
    </row>
    <row r="83" spans="1:17" x14ac:dyDescent="0.3">
      <c r="A83" t="s">
        <v>179</v>
      </c>
      <c r="B83" t="s">
        <v>180</v>
      </c>
      <c r="C83" t="s">
        <v>187</v>
      </c>
      <c r="D83" t="s">
        <v>188</v>
      </c>
      <c r="E83" t="s">
        <v>10</v>
      </c>
      <c r="F83" t="str">
        <f t="shared" si="14"/>
        <v>R</v>
      </c>
      <c r="G83">
        <f t="shared" si="18"/>
        <v>0</v>
      </c>
      <c r="H83" t="s">
        <v>10</v>
      </c>
      <c r="I83" t="str">
        <f t="shared" si="15"/>
        <v>R</v>
      </c>
      <c r="J83" t="str">
        <f t="shared" si="16"/>
        <v>Yes</v>
      </c>
      <c r="K83">
        <f t="shared" si="19"/>
        <v>1</v>
      </c>
      <c r="L83" t="str">
        <f t="shared" si="17"/>
        <v>Yes</v>
      </c>
      <c r="M83">
        <f t="shared" si="20"/>
        <v>1</v>
      </c>
      <c r="N83" t="s">
        <v>0</v>
      </c>
      <c r="O83" t="s">
        <v>72</v>
      </c>
      <c r="P83" t="s">
        <v>191</v>
      </c>
      <c r="Q83" t="s">
        <v>3</v>
      </c>
    </row>
    <row r="84" spans="1:17" x14ac:dyDescent="0.3">
      <c r="A84" t="s">
        <v>179</v>
      </c>
      <c r="B84" t="s">
        <v>180</v>
      </c>
      <c r="C84" t="s">
        <v>189</v>
      </c>
      <c r="D84" t="s">
        <v>190</v>
      </c>
      <c r="E84" t="s">
        <v>59</v>
      </c>
      <c r="F84" t="str">
        <f t="shared" si="14"/>
        <v>CS</v>
      </c>
      <c r="G84">
        <f t="shared" si="18"/>
        <v>1</v>
      </c>
      <c r="H84" t="s">
        <v>172</v>
      </c>
      <c r="I84" t="str">
        <f t="shared" si="15"/>
        <v>CS</v>
      </c>
      <c r="J84" t="str">
        <f t="shared" si="16"/>
        <v>Yes</v>
      </c>
      <c r="K84">
        <f t="shared" si="19"/>
        <v>1</v>
      </c>
      <c r="L84" t="str">
        <f t="shared" si="17"/>
        <v>No</v>
      </c>
      <c r="M84">
        <f t="shared" si="20"/>
        <v>0</v>
      </c>
      <c r="N84" t="s">
        <v>0</v>
      </c>
      <c r="O84" t="s">
        <v>72</v>
      </c>
      <c r="P84" t="s">
        <v>191</v>
      </c>
      <c r="Q84" t="s">
        <v>3</v>
      </c>
    </row>
    <row r="85" spans="1:17" x14ac:dyDescent="0.3">
      <c r="A85" t="s">
        <v>116</v>
      </c>
      <c r="B85" t="s">
        <v>192</v>
      </c>
      <c r="C85" t="s">
        <v>118</v>
      </c>
      <c r="D85" t="s">
        <v>193</v>
      </c>
      <c r="E85" t="s">
        <v>10</v>
      </c>
      <c r="F85" t="str">
        <f>IF(E85="R", "R", "CS")</f>
        <v>R</v>
      </c>
      <c r="G85">
        <f t="shared" si="18"/>
        <v>0</v>
      </c>
      <c r="H85" t="s">
        <v>10</v>
      </c>
      <c r="I85" t="str">
        <f>IF(H85="R", "R", "CS")</f>
        <v>R</v>
      </c>
      <c r="J85" t="str">
        <f>IF(F85=I85, "Yes", "No")</f>
        <v>Yes</v>
      </c>
      <c r="K85">
        <f t="shared" si="19"/>
        <v>1</v>
      </c>
      <c r="L85" t="str">
        <f>IF(E85=H85, "Yes", "No")</f>
        <v>Yes</v>
      </c>
      <c r="M85">
        <f t="shared" si="20"/>
        <v>1</v>
      </c>
      <c r="N85" t="s">
        <v>0</v>
      </c>
      <c r="O85" t="s">
        <v>72</v>
      </c>
      <c r="P85" t="s">
        <v>191</v>
      </c>
      <c r="Q85" t="s">
        <v>74</v>
      </c>
    </row>
    <row r="86" spans="1:17" x14ac:dyDescent="0.3">
      <c r="A86" t="s">
        <v>120</v>
      </c>
      <c r="B86" t="s">
        <v>194</v>
      </c>
      <c r="C86" t="s">
        <v>122</v>
      </c>
      <c r="D86" t="s">
        <v>123</v>
      </c>
      <c r="E86" t="s">
        <v>10</v>
      </c>
      <c r="F86" t="str">
        <f t="shared" ref="F86:F107" si="21">IF(E86="R", "R", "CS")</f>
        <v>R</v>
      </c>
      <c r="G86">
        <f t="shared" si="18"/>
        <v>0</v>
      </c>
      <c r="H86" t="s">
        <v>10</v>
      </c>
      <c r="I86" t="str">
        <f t="shared" ref="I86:I107" si="22">IF(H86="R", "R", "CS")</f>
        <v>R</v>
      </c>
      <c r="J86" t="str">
        <f t="shared" ref="J86:J107" si="23">IF(F86=I86, "Yes", "No")</f>
        <v>Yes</v>
      </c>
      <c r="K86">
        <f t="shared" si="19"/>
        <v>1</v>
      </c>
      <c r="L86" t="str">
        <f t="shared" ref="L86:L107" si="24">IF(E86=H86, "Yes", "No")</f>
        <v>Yes</v>
      </c>
      <c r="M86">
        <f t="shared" si="20"/>
        <v>1</v>
      </c>
      <c r="N86" t="s">
        <v>0</v>
      </c>
      <c r="O86" t="s">
        <v>72</v>
      </c>
      <c r="P86" t="s">
        <v>191</v>
      </c>
      <c r="Q86" t="s">
        <v>74</v>
      </c>
    </row>
    <row r="87" spans="1:17" x14ac:dyDescent="0.3">
      <c r="A87" t="s">
        <v>124</v>
      </c>
      <c r="B87" t="s">
        <v>195</v>
      </c>
      <c r="C87" t="s">
        <v>126</v>
      </c>
      <c r="D87" t="s">
        <v>196</v>
      </c>
      <c r="E87" t="s">
        <v>10</v>
      </c>
      <c r="F87" t="str">
        <f t="shared" si="21"/>
        <v>R</v>
      </c>
      <c r="G87">
        <f t="shared" si="18"/>
        <v>0</v>
      </c>
      <c r="H87" t="s">
        <v>10</v>
      </c>
      <c r="I87" t="str">
        <f t="shared" si="22"/>
        <v>R</v>
      </c>
      <c r="J87" t="str">
        <f t="shared" si="23"/>
        <v>Yes</v>
      </c>
      <c r="K87">
        <f t="shared" si="19"/>
        <v>1</v>
      </c>
      <c r="L87" t="str">
        <f t="shared" si="24"/>
        <v>Yes</v>
      </c>
      <c r="M87">
        <f t="shared" si="20"/>
        <v>1</v>
      </c>
      <c r="N87" t="s">
        <v>0</v>
      </c>
      <c r="O87" t="s">
        <v>72</v>
      </c>
      <c r="P87" t="s">
        <v>191</v>
      </c>
      <c r="Q87" t="s">
        <v>74</v>
      </c>
    </row>
    <row r="88" spans="1:17" x14ac:dyDescent="0.3">
      <c r="A88" t="s">
        <v>128</v>
      </c>
      <c r="B88" t="s">
        <v>197</v>
      </c>
      <c r="C88" t="s">
        <v>130</v>
      </c>
      <c r="D88" t="s">
        <v>198</v>
      </c>
      <c r="E88" t="s">
        <v>10</v>
      </c>
      <c r="F88" t="str">
        <f t="shared" si="21"/>
        <v>R</v>
      </c>
      <c r="G88">
        <f t="shared" si="18"/>
        <v>0</v>
      </c>
      <c r="H88" t="s">
        <v>10</v>
      </c>
      <c r="I88" t="str">
        <f t="shared" si="22"/>
        <v>R</v>
      </c>
      <c r="J88" t="str">
        <f t="shared" si="23"/>
        <v>Yes</v>
      </c>
      <c r="K88">
        <f t="shared" si="19"/>
        <v>1</v>
      </c>
      <c r="L88" t="str">
        <f t="shared" si="24"/>
        <v>Yes</v>
      </c>
      <c r="M88">
        <f t="shared" si="20"/>
        <v>1</v>
      </c>
      <c r="N88" t="s">
        <v>0</v>
      </c>
      <c r="O88" t="s">
        <v>72</v>
      </c>
      <c r="P88" t="s">
        <v>191</v>
      </c>
      <c r="Q88" t="s">
        <v>74</v>
      </c>
    </row>
    <row r="89" spans="1:17" x14ac:dyDescent="0.3">
      <c r="A89" t="s">
        <v>128</v>
      </c>
      <c r="B89" t="s">
        <v>197</v>
      </c>
      <c r="C89" t="s">
        <v>132</v>
      </c>
      <c r="D89" t="s">
        <v>199</v>
      </c>
      <c r="E89" t="s">
        <v>10</v>
      </c>
      <c r="F89" t="str">
        <f t="shared" si="21"/>
        <v>R</v>
      </c>
      <c r="G89">
        <f t="shared" si="18"/>
        <v>0</v>
      </c>
      <c r="H89" t="s">
        <v>10</v>
      </c>
      <c r="I89" t="str">
        <f t="shared" si="22"/>
        <v>R</v>
      </c>
      <c r="J89" t="str">
        <f t="shared" si="23"/>
        <v>Yes</v>
      </c>
      <c r="K89">
        <f t="shared" si="19"/>
        <v>1</v>
      </c>
      <c r="L89" t="str">
        <f t="shared" si="24"/>
        <v>Yes</v>
      </c>
      <c r="M89">
        <f t="shared" si="20"/>
        <v>1</v>
      </c>
      <c r="N89" t="s">
        <v>0</v>
      </c>
      <c r="O89" t="s">
        <v>72</v>
      </c>
      <c r="P89" t="s">
        <v>191</v>
      </c>
      <c r="Q89" t="s">
        <v>74</v>
      </c>
    </row>
    <row r="90" spans="1:17" x14ac:dyDescent="0.3">
      <c r="A90" t="s">
        <v>128</v>
      </c>
      <c r="B90" t="s">
        <v>197</v>
      </c>
      <c r="C90" t="s">
        <v>134</v>
      </c>
      <c r="D90" t="s">
        <v>200</v>
      </c>
      <c r="E90" t="s">
        <v>10</v>
      </c>
      <c r="F90" t="str">
        <f t="shared" si="21"/>
        <v>R</v>
      </c>
      <c r="G90">
        <f t="shared" si="18"/>
        <v>0</v>
      </c>
      <c r="H90" t="s">
        <v>10</v>
      </c>
      <c r="I90" t="str">
        <f t="shared" si="22"/>
        <v>R</v>
      </c>
      <c r="J90" t="str">
        <f t="shared" si="23"/>
        <v>Yes</v>
      </c>
      <c r="K90">
        <f t="shared" si="19"/>
        <v>1</v>
      </c>
      <c r="L90" t="str">
        <f t="shared" si="24"/>
        <v>Yes</v>
      </c>
      <c r="M90">
        <f t="shared" si="20"/>
        <v>1</v>
      </c>
      <c r="N90" t="s">
        <v>0</v>
      </c>
      <c r="O90" t="s">
        <v>72</v>
      </c>
      <c r="P90" t="s">
        <v>191</v>
      </c>
      <c r="Q90" t="s">
        <v>74</v>
      </c>
    </row>
    <row r="91" spans="1:17" x14ac:dyDescent="0.3">
      <c r="A91" t="s">
        <v>136</v>
      </c>
      <c r="B91" t="s">
        <v>201</v>
      </c>
      <c r="C91" t="s">
        <v>138</v>
      </c>
      <c r="D91" t="s">
        <v>139</v>
      </c>
      <c r="E91" t="s">
        <v>10</v>
      </c>
      <c r="F91" t="str">
        <f t="shared" si="21"/>
        <v>R</v>
      </c>
      <c r="G91">
        <f t="shared" si="18"/>
        <v>0</v>
      </c>
      <c r="H91" t="s">
        <v>10</v>
      </c>
      <c r="I91" t="str">
        <f t="shared" si="22"/>
        <v>R</v>
      </c>
      <c r="J91" t="str">
        <f t="shared" si="23"/>
        <v>Yes</v>
      </c>
      <c r="K91">
        <f t="shared" si="19"/>
        <v>1</v>
      </c>
      <c r="L91" t="str">
        <f t="shared" si="24"/>
        <v>Yes</v>
      </c>
      <c r="M91">
        <f t="shared" si="20"/>
        <v>1</v>
      </c>
      <c r="N91" t="s">
        <v>0</v>
      </c>
      <c r="O91" t="s">
        <v>72</v>
      </c>
      <c r="P91" t="s">
        <v>191</v>
      </c>
      <c r="Q91" t="s">
        <v>74</v>
      </c>
    </row>
    <row r="92" spans="1:17" x14ac:dyDescent="0.3">
      <c r="A92" t="s">
        <v>140</v>
      </c>
      <c r="B92" t="s">
        <v>202</v>
      </c>
      <c r="C92" t="s">
        <v>142</v>
      </c>
      <c r="D92" t="s">
        <v>203</v>
      </c>
      <c r="E92" t="s">
        <v>59</v>
      </c>
      <c r="F92" t="str">
        <f t="shared" si="21"/>
        <v>CS</v>
      </c>
      <c r="G92">
        <f t="shared" si="18"/>
        <v>1</v>
      </c>
      <c r="H92" t="s">
        <v>10</v>
      </c>
      <c r="I92" t="str">
        <f t="shared" si="22"/>
        <v>R</v>
      </c>
      <c r="J92" t="str">
        <f t="shared" si="23"/>
        <v>No</v>
      </c>
      <c r="K92">
        <f t="shared" si="19"/>
        <v>0</v>
      </c>
      <c r="L92" t="str">
        <f t="shared" si="24"/>
        <v>No</v>
      </c>
      <c r="M92">
        <f t="shared" si="20"/>
        <v>0</v>
      </c>
      <c r="N92" t="s">
        <v>0</v>
      </c>
      <c r="O92" t="s">
        <v>72</v>
      </c>
      <c r="P92" t="s">
        <v>191</v>
      </c>
      <c r="Q92" t="s">
        <v>74</v>
      </c>
    </row>
    <row r="93" spans="1:17" x14ac:dyDescent="0.3">
      <c r="A93" t="s">
        <v>145</v>
      </c>
      <c r="B93" t="s">
        <v>204</v>
      </c>
      <c r="C93" t="s">
        <v>147</v>
      </c>
      <c r="E93" t="s">
        <v>144</v>
      </c>
      <c r="F93" t="s">
        <v>144</v>
      </c>
      <c r="G93">
        <v>2</v>
      </c>
      <c r="H93" t="s">
        <v>144</v>
      </c>
      <c r="I93" t="s">
        <v>144</v>
      </c>
      <c r="J93" t="str">
        <f t="shared" si="23"/>
        <v>Yes</v>
      </c>
      <c r="K93">
        <f t="shared" si="19"/>
        <v>1</v>
      </c>
      <c r="L93" t="str">
        <f t="shared" si="24"/>
        <v>Yes</v>
      </c>
      <c r="M93">
        <f t="shared" si="20"/>
        <v>1</v>
      </c>
      <c r="N93" t="s">
        <v>0</v>
      </c>
      <c r="O93" t="s">
        <v>72</v>
      </c>
      <c r="P93" t="s">
        <v>191</v>
      </c>
      <c r="Q93" t="s">
        <v>74</v>
      </c>
    </row>
    <row r="94" spans="1:17" x14ac:dyDescent="0.3">
      <c r="A94" t="s">
        <v>148</v>
      </c>
      <c r="B94" t="s">
        <v>205</v>
      </c>
      <c r="C94" t="s">
        <v>150</v>
      </c>
      <c r="D94" t="s">
        <v>151</v>
      </c>
      <c r="E94" t="s">
        <v>10</v>
      </c>
      <c r="F94" t="str">
        <f t="shared" si="21"/>
        <v>R</v>
      </c>
      <c r="G94">
        <f t="shared" si="18"/>
        <v>0</v>
      </c>
      <c r="H94" t="s">
        <v>10</v>
      </c>
      <c r="I94" t="str">
        <f t="shared" si="22"/>
        <v>R</v>
      </c>
      <c r="J94" t="str">
        <f t="shared" si="23"/>
        <v>Yes</v>
      </c>
      <c r="K94">
        <f t="shared" si="19"/>
        <v>1</v>
      </c>
      <c r="L94" t="str">
        <f t="shared" si="24"/>
        <v>Yes</v>
      </c>
      <c r="M94">
        <f t="shared" si="20"/>
        <v>1</v>
      </c>
      <c r="N94" t="s">
        <v>0</v>
      </c>
      <c r="O94" t="s">
        <v>72</v>
      </c>
      <c r="P94" t="s">
        <v>191</v>
      </c>
      <c r="Q94" t="s">
        <v>74</v>
      </c>
    </row>
    <row r="95" spans="1:17" x14ac:dyDescent="0.3">
      <c r="A95" t="s">
        <v>148</v>
      </c>
      <c r="B95" t="s">
        <v>205</v>
      </c>
      <c r="C95" t="s">
        <v>152</v>
      </c>
      <c r="D95" t="s">
        <v>206</v>
      </c>
      <c r="E95" t="s">
        <v>10</v>
      </c>
      <c r="F95" t="str">
        <f t="shared" si="21"/>
        <v>R</v>
      </c>
      <c r="G95">
        <f t="shared" si="18"/>
        <v>0</v>
      </c>
      <c r="H95" t="s">
        <v>10</v>
      </c>
      <c r="I95" t="str">
        <f t="shared" si="22"/>
        <v>R</v>
      </c>
      <c r="J95" t="str">
        <f t="shared" si="23"/>
        <v>Yes</v>
      </c>
      <c r="K95">
        <f t="shared" si="19"/>
        <v>1</v>
      </c>
      <c r="L95" t="str">
        <f t="shared" si="24"/>
        <v>Yes</v>
      </c>
      <c r="M95">
        <f t="shared" si="20"/>
        <v>1</v>
      </c>
      <c r="N95" t="s">
        <v>0</v>
      </c>
      <c r="O95" t="s">
        <v>72</v>
      </c>
      <c r="P95" t="s">
        <v>191</v>
      </c>
      <c r="Q95" t="s">
        <v>74</v>
      </c>
    </row>
    <row r="96" spans="1:17" x14ac:dyDescent="0.3">
      <c r="A96" t="s">
        <v>154</v>
      </c>
      <c r="B96" t="s">
        <v>207</v>
      </c>
      <c r="C96" t="s">
        <v>156</v>
      </c>
      <c r="D96" t="s">
        <v>157</v>
      </c>
      <c r="E96" t="s">
        <v>10</v>
      </c>
      <c r="F96" t="str">
        <f t="shared" si="21"/>
        <v>R</v>
      </c>
      <c r="G96">
        <f t="shared" si="18"/>
        <v>0</v>
      </c>
      <c r="H96" t="s">
        <v>10</v>
      </c>
      <c r="I96" t="str">
        <f t="shared" si="22"/>
        <v>R</v>
      </c>
      <c r="J96" t="str">
        <f t="shared" si="23"/>
        <v>Yes</v>
      </c>
      <c r="K96">
        <f t="shared" si="19"/>
        <v>1</v>
      </c>
      <c r="L96" t="str">
        <f t="shared" si="24"/>
        <v>Yes</v>
      </c>
      <c r="M96">
        <f t="shared" si="20"/>
        <v>1</v>
      </c>
      <c r="N96" t="s">
        <v>0</v>
      </c>
      <c r="O96" t="s">
        <v>72</v>
      </c>
      <c r="P96" t="s">
        <v>191</v>
      </c>
      <c r="Q96" t="s">
        <v>74</v>
      </c>
    </row>
    <row r="97" spans="1:17" x14ac:dyDescent="0.3">
      <c r="A97" t="s">
        <v>154</v>
      </c>
      <c r="B97" t="s">
        <v>207</v>
      </c>
      <c r="C97" t="s">
        <v>158</v>
      </c>
      <c r="D97" t="s">
        <v>208</v>
      </c>
      <c r="E97" t="s">
        <v>10</v>
      </c>
      <c r="F97" t="str">
        <f t="shared" si="21"/>
        <v>R</v>
      </c>
      <c r="G97">
        <f t="shared" si="18"/>
        <v>0</v>
      </c>
      <c r="H97" t="s">
        <v>10</v>
      </c>
      <c r="I97" t="str">
        <f t="shared" si="22"/>
        <v>R</v>
      </c>
      <c r="J97" t="str">
        <f t="shared" si="23"/>
        <v>Yes</v>
      </c>
      <c r="K97">
        <f t="shared" si="19"/>
        <v>1</v>
      </c>
      <c r="L97" t="str">
        <f t="shared" si="24"/>
        <v>Yes</v>
      </c>
      <c r="M97">
        <f t="shared" si="20"/>
        <v>1</v>
      </c>
      <c r="N97" t="s">
        <v>0</v>
      </c>
      <c r="O97" t="s">
        <v>72</v>
      </c>
      <c r="P97" t="s">
        <v>191</v>
      </c>
      <c r="Q97" t="s">
        <v>74</v>
      </c>
    </row>
    <row r="98" spans="1:17" x14ac:dyDescent="0.3">
      <c r="A98" t="s">
        <v>160</v>
      </c>
      <c r="B98" t="s">
        <v>161</v>
      </c>
      <c r="C98" t="s">
        <v>162</v>
      </c>
      <c r="D98" t="s">
        <v>163</v>
      </c>
      <c r="E98" t="s">
        <v>10</v>
      </c>
      <c r="F98" t="str">
        <f t="shared" si="21"/>
        <v>R</v>
      </c>
      <c r="G98">
        <f t="shared" si="18"/>
        <v>0</v>
      </c>
      <c r="H98" t="s">
        <v>10</v>
      </c>
      <c r="I98" t="str">
        <f t="shared" si="22"/>
        <v>R</v>
      </c>
      <c r="J98" t="str">
        <f t="shared" si="23"/>
        <v>Yes</v>
      </c>
      <c r="K98">
        <f t="shared" si="19"/>
        <v>1</v>
      </c>
      <c r="L98" t="str">
        <f t="shared" si="24"/>
        <v>Yes</v>
      </c>
      <c r="M98">
        <f t="shared" si="20"/>
        <v>1</v>
      </c>
      <c r="N98" t="s">
        <v>0</v>
      </c>
      <c r="O98" t="s">
        <v>72</v>
      </c>
      <c r="P98" t="s">
        <v>191</v>
      </c>
      <c r="Q98" t="s">
        <v>74</v>
      </c>
    </row>
    <row r="99" spans="1:17" x14ac:dyDescent="0.3">
      <c r="A99" t="s">
        <v>164</v>
      </c>
      <c r="B99" t="s">
        <v>165</v>
      </c>
      <c r="C99" t="s">
        <v>166</v>
      </c>
      <c r="D99" t="s">
        <v>167</v>
      </c>
      <c r="E99" t="s">
        <v>10</v>
      </c>
      <c r="F99" t="str">
        <f t="shared" si="21"/>
        <v>R</v>
      </c>
      <c r="G99">
        <f t="shared" si="18"/>
        <v>0</v>
      </c>
      <c r="H99" t="s">
        <v>10</v>
      </c>
      <c r="I99" t="str">
        <f t="shared" si="22"/>
        <v>R</v>
      </c>
      <c r="J99" t="str">
        <f t="shared" si="23"/>
        <v>Yes</v>
      </c>
      <c r="K99">
        <f t="shared" si="19"/>
        <v>1</v>
      </c>
      <c r="L99" t="str">
        <f t="shared" si="24"/>
        <v>Yes</v>
      </c>
      <c r="M99">
        <f t="shared" si="20"/>
        <v>1</v>
      </c>
      <c r="N99" t="s">
        <v>0</v>
      </c>
      <c r="O99" t="s">
        <v>72</v>
      </c>
      <c r="P99" t="s">
        <v>191</v>
      </c>
      <c r="Q99" t="s">
        <v>74</v>
      </c>
    </row>
    <row r="100" spans="1:17" x14ac:dyDescent="0.3">
      <c r="A100" t="s">
        <v>168</v>
      </c>
      <c r="B100" t="s">
        <v>209</v>
      </c>
      <c r="C100" t="s">
        <v>170</v>
      </c>
      <c r="D100" t="s">
        <v>210</v>
      </c>
      <c r="E100" t="s">
        <v>10</v>
      </c>
      <c r="F100" t="str">
        <f t="shared" si="21"/>
        <v>R</v>
      </c>
      <c r="G100">
        <f t="shared" si="18"/>
        <v>0</v>
      </c>
      <c r="H100" t="s">
        <v>10</v>
      </c>
      <c r="I100" t="str">
        <f t="shared" si="22"/>
        <v>R</v>
      </c>
      <c r="J100" t="str">
        <f t="shared" si="23"/>
        <v>Yes</v>
      </c>
      <c r="K100">
        <f t="shared" si="19"/>
        <v>1</v>
      </c>
      <c r="L100" t="str">
        <f t="shared" si="24"/>
        <v>Yes</v>
      </c>
      <c r="M100">
        <f t="shared" si="20"/>
        <v>1</v>
      </c>
      <c r="N100" t="s">
        <v>0</v>
      </c>
      <c r="O100" t="s">
        <v>72</v>
      </c>
      <c r="P100" t="s">
        <v>191</v>
      </c>
      <c r="Q100" t="s">
        <v>74</v>
      </c>
    </row>
    <row r="101" spans="1:17" x14ac:dyDescent="0.3">
      <c r="A101" t="s">
        <v>173</v>
      </c>
      <c r="B101" t="s">
        <v>211</v>
      </c>
      <c r="C101" t="s">
        <v>175</v>
      </c>
      <c r="D101" t="s">
        <v>212</v>
      </c>
      <c r="E101" t="s">
        <v>10</v>
      </c>
      <c r="F101" t="str">
        <f t="shared" si="21"/>
        <v>R</v>
      </c>
      <c r="G101">
        <f t="shared" si="18"/>
        <v>0</v>
      </c>
      <c r="H101" t="s">
        <v>10</v>
      </c>
      <c r="I101" t="str">
        <f t="shared" si="22"/>
        <v>R</v>
      </c>
      <c r="J101" t="str">
        <f t="shared" si="23"/>
        <v>Yes</v>
      </c>
      <c r="K101">
        <f t="shared" si="19"/>
        <v>1</v>
      </c>
      <c r="L101" t="str">
        <f t="shared" si="24"/>
        <v>Yes</v>
      </c>
      <c r="M101">
        <f t="shared" si="20"/>
        <v>1</v>
      </c>
      <c r="N101" t="s">
        <v>0</v>
      </c>
      <c r="O101" t="s">
        <v>72</v>
      </c>
      <c r="P101" t="s">
        <v>191</v>
      </c>
      <c r="Q101" t="s">
        <v>74</v>
      </c>
    </row>
    <row r="102" spans="1:17" x14ac:dyDescent="0.3">
      <c r="A102" t="s">
        <v>173</v>
      </c>
      <c r="B102" t="s">
        <v>211</v>
      </c>
      <c r="C102" t="s">
        <v>177</v>
      </c>
      <c r="D102" t="s">
        <v>213</v>
      </c>
      <c r="E102" t="s">
        <v>10</v>
      </c>
      <c r="F102" t="str">
        <f t="shared" si="21"/>
        <v>R</v>
      </c>
      <c r="G102">
        <f t="shared" si="18"/>
        <v>0</v>
      </c>
      <c r="H102" t="s">
        <v>10</v>
      </c>
      <c r="I102" t="str">
        <f t="shared" si="22"/>
        <v>R</v>
      </c>
      <c r="J102" t="str">
        <f t="shared" si="23"/>
        <v>Yes</v>
      </c>
      <c r="K102">
        <f t="shared" si="19"/>
        <v>1</v>
      </c>
      <c r="L102" t="str">
        <f t="shared" si="24"/>
        <v>Yes</v>
      </c>
      <c r="M102">
        <f t="shared" si="20"/>
        <v>1</v>
      </c>
      <c r="N102" t="s">
        <v>0</v>
      </c>
      <c r="O102" t="s">
        <v>72</v>
      </c>
      <c r="P102" t="s">
        <v>191</v>
      </c>
      <c r="Q102" t="s">
        <v>74</v>
      </c>
    </row>
    <row r="103" spans="1:17" x14ac:dyDescent="0.3">
      <c r="A103" t="s">
        <v>179</v>
      </c>
      <c r="B103" t="s">
        <v>214</v>
      </c>
      <c r="C103" t="s">
        <v>181</v>
      </c>
      <c r="D103" t="s">
        <v>215</v>
      </c>
      <c r="E103" t="s">
        <v>10</v>
      </c>
      <c r="F103" t="str">
        <f t="shared" si="21"/>
        <v>R</v>
      </c>
      <c r="G103">
        <f t="shared" si="18"/>
        <v>0</v>
      </c>
      <c r="H103" t="s">
        <v>144</v>
      </c>
      <c r="I103" t="str">
        <f t="shared" si="22"/>
        <v>CS</v>
      </c>
      <c r="J103" t="str">
        <f t="shared" si="23"/>
        <v>No</v>
      </c>
      <c r="K103">
        <f t="shared" si="19"/>
        <v>0</v>
      </c>
      <c r="L103" t="str">
        <f t="shared" si="24"/>
        <v>No</v>
      </c>
      <c r="M103">
        <f t="shared" si="20"/>
        <v>0</v>
      </c>
      <c r="N103" t="s">
        <v>0</v>
      </c>
      <c r="O103" t="s">
        <v>72</v>
      </c>
      <c r="P103" t="s">
        <v>191</v>
      </c>
      <c r="Q103" t="s">
        <v>74</v>
      </c>
    </row>
    <row r="104" spans="1:17" x14ac:dyDescent="0.3">
      <c r="A104" t="s">
        <v>179</v>
      </c>
      <c r="B104" t="s">
        <v>214</v>
      </c>
      <c r="C104" t="s">
        <v>183</v>
      </c>
      <c r="D104" t="s">
        <v>216</v>
      </c>
      <c r="E104" t="s">
        <v>10</v>
      </c>
      <c r="F104" t="str">
        <f t="shared" si="21"/>
        <v>R</v>
      </c>
      <c r="G104">
        <f t="shared" si="18"/>
        <v>0</v>
      </c>
      <c r="H104" t="s">
        <v>10</v>
      </c>
      <c r="I104" t="str">
        <f t="shared" si="22"/>
        <v>R</v>
      </c>
      <c r="J104" t="str">
        <f t="shared" si="23"/>
        <v>Yes</v>
      </c>
      <c r="K104">
        <f t="shared" si="19"/>
        <v>1</v>
      </c>
      <c r="L104" t="str">
        <f t="shared" si="24"/>
        <v>Yes</v>
      </c>
      <c r="M104">
        <f t="shared" si="20"/>
        <v>1</v>
      </c>
      <c r="N104" t="s">
        <v>0</v>
      </c>
      <c r="O104" t="s">
        <v>72</v>
      </c>
      <c r="P104" t="s">
        <v>191</v>
      </c>
      <c r="Q104" t="s">
        <v>74</v>
      </c>
    </row>
    <row r="105" spans="1:17" x14ac:dyDescent="0.3">
      <c r="A105" t="s">
        <v>179</v>
      </c>
      <c r="B105" t="s">
        <v>214</v>
      </c>
      <c r="C105" t="s">
        <v>185</v>
      </c>
      <c r="D105" t="s">
        <v>186</v>
      </c>
      <c r="E105" t="s">
        <v>10</v>
      </c>
      <c r="F105" t="str">
        <f t="shared" si="21"/>
        <v>R</v>
      </c>
      <c r="G105">
        <f t="shared" si="18"/>
        <v>0</v>
      </c>
      <c r="H105" t="s">
        <v>10</v>
      </c>
      <c r="I105" t="str">
        <f t="shared" si="22"/>
        <v>R</v>
      </c>
      <c r="J105" t="str">
        <f t="shared" si="23"/>
        <v>Yes</v>
      </c>
      <c r="K105">
        <f t="shared" si="19"/>
        <v>1</v>
      </c>
      <c r="L105" t="str">
        <f t="shared" si="24"/>
        <v>Yes</v>
      </c>
      <c r="M105">
        <f t="shared" si="20"/>
        <v>1</v>
      </c>
      <c r="N105" t="s">
        <v>0</v>
      </c>
      <c r="O105" t="s">
        <v>72</v>
      </c>
      <c r="P105" t="s">
        <v>191</v>
      </c>
      <c r="Q105" t="s">
        <v>74</v>
      </c>
    </row>
    <row r="106" spans="1:17" x14ac:dyDescent="0.3">
      <c r="A106" t="s">
        <v>179</v>
      </c>
      <c r="B106" t="s">
        <v>214</v>
      </c>
      <c r="C106" t="s">
        <v>187</v>
      </c>
      <c r="D106" t="s">
        <v>217</v>
      </c>
      <c r="E106" t="s">
        <v>10</v>
      </c>
      <c r="F106" t="str">
        <f t="shared" si="21"/>
        <v>R</v>
      </c>
      <c r="G106">
        <f t="shared" si="18"/>
        <v>0</v>
      </c>
      <c r="H106" t="s">
        <v>10</v>
      </c>
      <c r="I106" t="str">
        <f t="shared" si="22"/>
        <v>R</v>
      </c>
      <c r="J106" t="str">
        <f t="shared" si="23"/>
        <v>Yes</v>
      </c>
      <c r="K106">
        <f t="shared" si="19"/>
        <v>1</v>
      </c>
      <c r="L106" t="str">
        <f t="shared" si="24"/>
        <v>Yes</v>
      </c>
      <c r="M106">
        <f t="shared" si="20"/>
        <v>1</v>
      </c>
      <c r="N106" t="s">
        <v>0</v>
      </c>
      <c r="O106" t="s">
        <v>72</v>
      </c>
      <c r="P106" t="s">
        <v>191</v>
      </c>
      <c r="Q106" t="s">
        <v>74</v>
      </c>
    </row>
    <row r="107" spans="1:17" x14ac:dyDescent="0.3">
      <c r="A107" t="s">
        <v>179</v>
      </c>
      <c r="B107" t="s">
        <v>214</v>
      </c>
      <c r="C107" t="s">
        <v>189</v>
      </c>
      <c r="D107" t="s">
        <v>218</v>
      </c>
      <c r="E107" t="s">
        <v>10</v>
      </c>
      <c r="F107" t="str">
        <f t="shared" si="21"/>
        <v>R</v>
      </c>
      <c r="G107">
        <f t="shared" si="18"/>
        <v>0</v>
      </c>
      <c r="H107" t="s">
        <v>10</v>
      </c>
      <c r="I107" t="str">
        <f t="shared" si="22"/>
        <v>R</v>
      </c>
      <c r="J107" t="str">
        <f t="shared" si="23"/>
        <v>Yes</v>
      </c>
      <c r="K107">
        <f t="shared" si="19"/>
        <v>1</v>
      </c>
      <c r="L107" t="str">
        <f t="shared" si="24"/>
        <v>Yes</v>
      </c>
      <c r="M107">
        <f t="shared" si="20"/>
        <v>1</v>
      </c>
      <c r="N107" t="s">
        <v>0</v>
      </c>
      <c r="O107" t="s">
        <v>72</v>
      </c>
      <c r="P107" t="s">
        <v>191</v>
      </c>
      <c r="Q107" t="s">
        <v>74</v>
      </c>
    </row>
    <row r="108" spans="1:17" x14ac:dyDescent="0.3">
      <c r="A108" t="s">
        <v>116</v>
      </c>
      <c r="B108" t="s">
        <v>219</v>
      </c>
      <c r="C108" t="s">
        <v>118</v>
      </c>
      <c r="D108" t="s">
        <v>220</v>
      </c>
      <c r="E108" t="s">
        <v>172</v>
      </c>
      <c r="F108" t="str">
        <f>IF(E108="R", "R", "CS")</f>
        <v>CS</v>
      </c>
      <c r="G108">
        <f t="shared" si="18"/>
        <v>1</v>
      </c>
      <c r="H108" t="s">
        <v>172</v>
      </c>
      <c r="I108" t="str">
        <f>IF(H108="R", "R", "CS")</f>
        <v>CS</v>
      </c>
      <c r="J108" t="str">
        <f>IF(F108=I108, "Yes", "No")</f>
        <v>Yes</v>
      </c>
      <c r="K108">
        <f t="shared" si="19"/>
        <v>1</v>
      </c>
      <c r="L108" t="str">
        <f>IF(E108=H108, "Yes", "No")</f>
        <v>Yes</v>
      </c>
      <c r="M108">
        <f t="shared" si="20"/>
        <v>1</v>
      </c>
      <c r="N108" t="s">
        <v>0</v>
      </c>
      <c r="O108" t="s">
        <v>72</v>
      </c>
      <c r="P108" t="s">
        <v>191</v>
      </c>
      <c r="Q108" t="s">
        <v>95</v>
      </c>
    </row>
    <row r="109" spans="1:17" x14ac:dyDescent="0.3">
      <c r="A109" t="s">
        <v>120</v>
      </c>
      <c r="B109" t="s">
        <v>221</v>
      </c>
      <c r="C109" t="s">
        <v>122</v>
      </c>
      <c r="D109" t="s">
        <v>222</v>
      </c>
      <c r="E109" t="s">
        <v>10</v>
      </c>
      <c r="F109" t="str">
        <f t="shared" ref="F109:F130" si="25">IF(E109="R", "R", "CS")</f>
        <v>R</v>
      </c>
      <c r="G109">
        <f t="shared" si="18"/>
        <v>0</v>
      </c>
      <c r="H109" t="s">
        <v>10</v>
      </c>
      <c r="I109" t="str">
        <f t="shared" ref="I109:I130" si="26">IF(H109="R", "R", "CS")</f>
        <v>R</v>
      </c>
      <c r="J109" t="str">
        <f t="shared" ref="J109:J130" si="27">IF(F109=I109, "Yes", "No")</f>
        <v>Yes</v>
      </c>
      <c r="K109">
        <f t="shared" si="19"/>
        <v>1</v>
      </c>
      <c r="L109" t="str">
        <f t="shared" ref="L109:L130" si="28">IF(E109=H109, "Yes", "No")</f>
        <v>Yes</v>
      </c>
      <c r="M109">
        <f t="shared" si="20"/>
        <v>1</v>
      </c>
      <c r="N109" t="s">
        <v>0</v>
      </c>
      <c r="O109" t="s">
        <v>72</v>
      </c>
      <c r="P109" t="s">
        <v>191</v>
      </c>
      <c r="Q109" t="s">
        <v>95</v>
      </c>
    </row>
    <row r="110" spans="1:17" x14ac:dyDescent="0.3">
      <c r="A110" t="s">
        <v>124</v>
      </c>
      <c r="B110" t="s">
        <v>223</v>
      </c>
      <c r="C110" t="s">
        <v>126</v>
      </c>
      <c r="D110" t="s">
        <v>224</v>
      </c>
      <c r="E110" t="s">
        <v>10</v>
      </c>
      <c r="F110" t="str">
        <f t="shared" si="25"/>
        <v>R</v>
      </c>
      <c r="G110">
        <f t="shared" si="18"/>
        <v>0</v>
      </c>
      <c r="H110" t="s">
        <v>10</v>
      </c>
      <c r="I110" t="str">
        <f t="shared" si="26"/>
        <v>R</v>
      </c>
      <c r="J110" t="str">
        <f t="shared" si="27"/>
        <v>Yes</v>
      </c>
      <c r="K110">
        <f t="shared" si="19"/>
        <v>1</v>
      </c>
      <c r="L110" t="str">
        <f t="shared" si="28"/>
        <v>Yes</v>
      </c>
      <c r="M110">
        <f t="shared" si="20"/>
        <v>1</v>
      </c>
      <c r="N110" t="s">
        <v>0</v>
      </c>
      <c r="O110" t="s">
        <v>72</v>
      </c>
      <c r="P110" t="s">
        <v>191</v>
      </c>
      <c r="Q110" t="s">
        <v>95</v>
      </c>
    </row>
    <row r="111" spans="1:17" x14ac:dyDescent="0.3">
      <c r="A111" t="s">
        <v>128</v>
      </c>
      <c r="B111" t="s">
        <v>225</v>
      </c>
      <c r="C111" t="s">
        <v>130</v>
      </c>
      <c r="D111" t="s">
        <v>226</v>
      </c>
      <c r="E111" t="s">
        <v>10</v>
      </c>
      <c r="F111" t="str">
        <f t="shared" si="25"/>
        <v>R</v>
      </c>
      <c r="G111">
        <f t="shared" si="18"/>
        <v>0</v>
      </c>
      <c r="H111" t="s">
        <v>10</v>
      </c>
      <c r="I111" t="str">
        <f t="shared" si="26"/>
        <v>R</v>
      </c>
      <c r="J111" t="str">
        <f t="shared" si="27"/>
        <v>Yes</v>
      </c>
      <c r="K111">
        <f t="shared" si="19"/>
        <v>1</v>
      </c>
      <c r="L111" t="str">
        <f t="shared" si="28"/>
        <v>Yes</v>
      </c>
      <c r="M111">
        <f t="shared" si="20"/>
        <v>1</v>
      </c>
      <c r="N111" t="s">
        <v>0</v>
      </c>
      <c r="O111" t="s">
        <v>72</v>
      </c>
      <c r="P111" t="s">
        <v>191</v>
      </c>
      <c r="Q111" t="s">
        <v>95</v>
      </c>
    </row>
    <row r="112" spans="1:17" x14ac:dyDescent="0.3">
      <c r="A112" t="s">
        <v>128</v>
      </c>
      <c r="B112" t="s">
        <v>225</v>
      </c>
      <c r="C112" t="s">
        <v>132</v>
      </c>
      <c r="D112" t="s">
        <v>227</v>
      </c>
      <c r="E112" t="s">
        <v>10</v>
      </c>
      <c r="F112" t="str">
        <f t="shared" si="25"/>
        <v>R</v>
      </c>
      <c r="G112">
        <f t="shared" si="18"/>
        <v>0</v>
      </c>
      <c r="H112" t="s">
        <v>10</v>
      </c>
      <c r="I112" t="str">
        <f t="shared" si="26"/>
        <v>R</v>
      </c>
      <c r="J112" t="str">
        <f t="shared" si="27"/>
        <v>Yes</v>
      </c>
      <c r="K112">
        <f t="shared" si="19"/>
        <v>1</v>
      </c>
      <c r="L112" t="str">
        <f t="shared" si="28"/>
        <v>Yes</v>
      </c>
      <c r="M112">
        <f t="shared" si="20"/>
        <v>1</v>
      </c>
      <c r="N112" t="s">
        <v>0</v>
      </c>
      <c r="O112" t="s">
        <v>72</v>
      </c>
      <c r="P112" t="s">
        <v>191</v>
      </c>
      <c r="Q112" t="s">
        <v>95</v>
      </c>
    </row>
    <row r="113" spans="1:17" x14ac:dyDescent="0.3">
      <c r="A113" t="s">
        <v>128</v>
      </c>
      <c r="B113" t="s">
        <v>225</v>
      </c>
      <c r="C113" t="s">
        <v>134</v>
      </c>
      <c r="D113" t="s">
        <v>228</v>
      </c>
      <c r="E113" t="s">
        <v>10</v>
      </c>
      <c r="F113" t="str">
        <f t="shared" si="25"/>
        <v>R</v>
      </c>
      <c r="G113">
        <f t="shared" si="18"/>
        <v>0</v>
      </c>
      <c r="H113" t="s">
        <v>10</v>
      </c>
      <c r="I113" t="str">
        <f t="shared" si="26"/>
        <v>R</v>
      </c>
      <c r="J113" t="str">
        <f t="shared" si="27"/>
        <v>Yes</v>
      </c>
      <c r="K113">
        <f t="shared" si="19"/>
        <v>1</v>
      </c>
      <c r="L113" t="str">
        <f t="shared" si="28"/>
        <v>Yes</v>
      </c>
      <c r="M113">
        <f t="shared" si="20"/>
        <v>1</v>
      </c>
      <c r="N113" t="s">
        <v>0</v>
      </c>
      <c r="O113" t="s">
        <v>72</v>
      </c>
      <c r="P113" t="s">
        <v>191</v>
      </c>
      <c r="Q113" t="s">
        <v>95</v>
      </c>
    </row>
    <row r="114" spans="1:17" x14ac:dyDescent="0.3">
      <c r="A114" t="s">
        <v>136</v>
      </c>
      <c r="B114" t="s">
        <v>229</v>
      </c>
      <c r="C114" t="s">
        <v>138</v>
      </c>
      <c r="D114" t="s">
        <v>230</v>
      </c>
      <c r="E114" t="s">
        <v>10</v>
      </c>
      <c r="F114" t="str">
        <f t="shared" si="25"/>
        <v>R</v>
      </c>
      <c r="G114">
        <f t="shared" si="18"/>
        <v>0</v>
      </c>
      <c r="H114" t="s">
        <v>10</v>
      </c>
      <c r="I114" t="str">
        <f t="shared" si="26"/>
        <v>R</v>
      </c>
      <c r="J114" t="str">
        <f t="shared" si="27"/>
        <v>Yes</v>
      </c>
      <c r="K114">
        <f t="shared" si="19"/>
        <v>1</v>
      </c>
      <c r="L114" t="str">
        <f t="shared" si="28"/>
        <v>Yes</v>
      </c>
      <c r="M114">
        <f t="shared" si="20"/>
        <v>1</v>
      </c>
      <c r="N114" t="s">
        <v>0</v>
      </c>
      <c r="O114" t="s">
        <v>72</v>
      </c>
      <c r="P114" t="s">
        <v>191</v>
      </c>
      <c r="Q114" t="s">
        <v>95</v>
      </c>
    </row>
    <row r="115" spans="1:17" x14ac:dyDescent="0.3">
      <c r="A115" t="s">
        <v>140</v>
      </c>
      <c r="B115" t="s">
        <v>231</v>
      </c>
      <c r="C115" t="s">
        <v>142</v>
      </c>
      <c r="D115" t="s">
        <v>232</v>
      </c>
      <c r="E115" t="s">
        <v>10</v>
      </c>
      <c r="F115" t="str">
        <f t="shared" si="25"/>
        <v>R</v>
      </c>
      <c r="G115">
        <f t="shared" si="18"/>
        <v>0</v>
      </c>
      <c r="H115" t="s">
        <v>10</v>
      </c>
      <c r="I115" t="str">
        <f t="shared" si="26"/>
        <v>R</v>
      </c>
      <c r="J115" t="str">
        <f t="shared" si="27"/>
        <v>Yes</v>
      </c>
      <c r="K115">
        <f t="shared" si="19"/>
        <v>1</v>
      </c>
      <c r="L115" t="str">
        <f t="shared" si="28"/>
        <v>Yes</v>
      </c>
      <c r="M115">
        <f t="shared" si="20"/>
        <v>1</v>
      </c>
      <c r="N115" t="s">
        <v>0</v>
      </c>
      <c r="O115" t="s">
        <v>72</v>
      </c>
      <c r="P115" t="s">
        <v>191</v>
      </c>
      <c r="Q115" t="s">
        <v>95</v>
      </c>
    </row>
    <row r="116" spans="1:17" x14ac:dyDescent="0.3">
      <c r="A116" t="s">
        <v>145</v>
      </c>
      <c r="B116" t="s">
        <v>233</v>
      </c>
      <c r="C116" t="s">
        <v>147</v>
      </c>
      <c r="D116" t="s">
        <v>234</v>
      </c>
      <c r="E116" t="s">
        <v>59</v>
      </c>
      <c r="F116" t="str">
        <f t="shared" si="25"/>
        <v>CS</v>
      </c>
      <c r="G116">
        <f t="shared" si="18"/>
        <v>1</v>
      </c>
      <c r="H116" t="s">
        <v>59</v>
      </c>
      <c r="I116" t="str">
        <f t="shared" si="26"/>
        <v>CS</v>
      </c>
      <c r="J116" t="str">
        <f t="shared" si="27"/>
        <v>Yes</v>
      </c>
      <c r="K116">
        <f t="shared" si="19"/>
        <v>1</v>
      </c>
      <c r="L116" t="str">
        <f t="shared" si="28"/>
        <v>Yes</v>
      </c>
      <c r="M116">
        <f t="shared" si="20"/>
        <v>1</v>
      </c>
      <c r="N116" t="s">
        <v>0</v>
      </c>
      <c r="O116" t="s">
        <v>72</v>
      </c>
      <c r="P116" t="s">
        <v>191</v>
      </c>
      <c r="Q116" t="s">
        <v>95</v>
      </c>
    </row>
    <row r="117" spans="1:17" x14ac:dyDescent="0.3">
      <c r="A117" t="s">
        <v>148</v>
      </c>
      <c r="B117" t="s">
        <v>235</v>
      </c>
      <c r="C117" t="s">
        <v>150</v>
      </c>
      <c r="D117" t="s">
        <v>236</v>
      </c>
      <c r="E117" t="s">
        <v>10</v>
      </c>
      <c r="F117" t="str">
        <f t="shared" si="25"/>
        <v>R</v>
      </c>
      <c r="G117">
        <f t="shared" si="18"/>
        <v>0</v>
      </c>
      <c r="H117" t="s">
        <v>10</v>
      </c>
      <c r="I117" t="str">
        <f t="shared" si="26"/>
        <v>R</v>
      </c>
      <c r="J117" t="str">
        <f t="shared" si="27"/>
        <v>Yes</v>
      </c>
      <c r="K117">
        <f t="shared" si="19"/>
        <v>1</v>
      </c>
      <c r="L117" t="str">
        <f t="shared" si="28"/>
        <v>Yes</v>
      </c>
      <c r="M117">
        <f t="shared" si="20"/>
        <v>1</v>
      </c>
      <c r="N117" t="s">
        <v>0</v>
      </c>
      <c r="O117" t="s">
        <v>72</v>
      </c>
      <c r="P117" t="s">
        <v>191</v>
      </c>
      <c r="Q117" t="s">
        <v>95</v>
      </c>
    </row>
    <row r="118" spans="1:17" x14ac:dyDescent="0.3">
      <c r="A118" t="s">
        <v>148</v>
      </c>
      <c r="B118" t="s">
        <v>235</v>
      </c>
      <c r="C118" t="s">
        <v>152</v>
      </c>
      <c r="D118" t="s">
        <v>153</v>
      </c>
      <c r="E118" t="s">
        <v>10</v>
      </c>
      <c r="F118" t="str">
        <f t="shared" si="25"/>
        <v>R</v>
      </c>
      <c r="G118">
        <f t="shared" si="18"/>
        <v>0</v>
      </c>
      <c r="H118" t="s">
        <v>144</v>
      </c>
      <c r="I118" t="s">
        <v>144</v>
      </c>
      <c r="J118" t="str">
        <f t="shared" si="27"/>
        <v>No</v>
      </c>
      <c r="K118">
        <f t="shared" si="19"/>
        <v>0</v>
      </c>
      <c r="L118" t="str">
        <f t="shared" si="28"/>
        <v>No</v>
      </c>
      <c r="M118">
        <f t="shared" si="20"/>
        <v>0</v>
      </c>
      <c r="N118" t="s">
        <v>0</v>
      </c>
      <c r="O118" t="s">
        <v>72</v>
      </c>
      <c r="P118" t="s">
        <v>191</v>
      </c>
      <c r="Q118" t="s">
        <v>95</v>
      </c>
    </row>
    <row r="119" spans="1:17" x14ac:dyDescent="0.3">
      <c r="A119" t="s">
        <v>154</v>
      </c>
      <c r="B119" t="s">
        <v>237</v>
      </c>
      <c r="C119" t="s">
        <v>156</v>
      </c>
      <c r="E119" t="s">
        <v>144</v>
      </c>
      <c r="F119" t="s">
        <v>144</v>
      </c>
      <c r="G119">
        <v>2</v>
      </c>
      <c r="H119" t="s">
        <v>144</v>
      </c>
      <c r="I119" t="s">
        <v>144</v>
      </c>
      <c r="J119" t="str">
        <f t="shared" si="27"/>
        <v>Yes</v>
      </c>
      <c r="K119">
        <f t="shared" si="19"/>
        <v>1</v>
      </c>
      <c r="L119" t="str">
        <f t="shared" si="28"/>
        <v>Yes</v>
      </c>
      <c r="M119">
        <f t="shared" si="20"/>
        <v>1</v>
      </c>
      <c r="N119" t="s">
        <v>0</v>
      </c>
      <c r="O119" t="s">
        <v>72</v>
      </c>
      <c r="P119" t="s">
        <v>191</v>
      </c>
      <c r="Q119" t="s">
        <v>95</v>
      </c>
    </row>
    <row r="120" spans="1:17" x14ac:dyDescent="0.3">
      <c r="A120" t="s">
        <v>154</v>
      </c>
      <c r="B120" t="s">
        <v>237</v>
      </c>
      <c r="C120" t="s">
        <v>158</v>
      </c>
      <c r="D120" t="s">
        <v>238</v>
      </c>
      <c r="E120" t="s">
        <v>59</v>
      </c>
      <c r="F120" t="str">
        <f t="shared" si="25"/>
        <v>CS</v>
      </c>
      <c r="G120">
        <f t="shared" si="18"/>
        <v>1</v>
      </c>
      <c r="H120" t="s">
        <v>25</v>
      </c>
      <c r="I120" t="str">
        <f t="shared" si="26"/>
        <v>CS</v>
      </c>
      <c r="J120" t="str">
        <f t="shared" si="27"/>
        <v>Yes</v>
      </c>
      <c r="K120">
        <f t="shared" si="19"/>
        <v>1</v>
      </c>
      <c r="L120" t="str">
        <f t="shared" si="28"/>
        <v>No</v>
      </c>
      <c r="M120">
        <f t="shared" si="20"/>
        <v>0</v>
      </c>
      <c r="N120" t="s">
        <v>0</v>
      </c>
      <c r="O120" t="s">
        <v>72</v>
      </c>
      <c r="P120" t="s">
        <v>191</v>
      </c>
      <c r="Q120" t="s">
        <v>95</v>
      </c>
    </row>
    <row r="121" spans="1:17" x14ac:dyDescent="0.3">
      <c r="A121" t="s">
        <v>160</v>
      </c>
      <c r="B121" t="s">
        <v>239</v>
      </c>
      <c r="C121" t="s">
        <v>162</v>
      </c>
      <c r="D121" t="s">
        <v>240</v>
      </c>
      <c r="E121" t="s">
        <v>10</v>
      </c>
      <c r="F121" t="str">
        <f t="shared" si="25"/>
        <v>R</v>
      </c>
      <c r="G121">
        <f t="shared" si="18"/>
        <v>0</v>
      </c>
      <c r="H121" t="s">
        <v>10</v>
      </c>
      <c r="I121" t="str">
        <f t="shared" si="26"/>
        <v>R</v>
      </c>
      <c r="J121" t="str">
        <f t="shared" si="27"/>
        <v>Yes</v>
      </c>
      <c r="K121">
        <f t="shared" si="19"/>
        <v>1</v>
      </c>
      <c r="L121" t="str">
        <f t="shared" si="28"/>
        <v>Yes</v>
      </c>
      <c r="M121">
        <f t="shared" si="20"/>
        <v>1</v>
      </c>
      <c r="N121" t="s">
        <v>0</v>
      </c>
      <c r="O121" t="s">
        <v>72</v>
      </c>
      <c r="P121" t="s">
        <v>191</v>
      </c>
      <c r="Q121" t="s">
        <v>95</v>
      </c>
    </row>
    <row r="122" spans="1:17" x14ac:dyDescent="0.3">
      <c r="A122" t="s">
        <v>164</v>
      </c>
      <c r="B122" t="s">
        <v>241</v>
      </c>
      <c r="C122" t="s">
        <v>166</v>
      </c>
      <c r="D122" t="s">
        <v>242</v>
      </c>
      <c r="E122" t="s">
        <v>10</v>
      </c>
      <c r="F122" t="str">
        <f t="shared" si="25"/>
        <v>R</v>
      </c>
      <c r="G122">
        <f t="shared" si="18"/>
        <v>0</v>
      </c>
      <c r="H122" t="s">
        <v>10</v>
      </c>
      <c r="I122" t="str">
        <f t="shared" si="26"/>
        <v>R</v>
      </c>
      <c r="J122" t="str">
        <f t="shared" si="27"/>
        <v>Yes</v>
      </c>
      <c r="K122">
        <f t="shared" si="19"/>
        <v>1</v>
      </c>
      <c r="L122" t="str">
        <f t="shared" si="28"/>
        <v>Yes</v>
      </c>
      <c r="M122">
        <f t="shared" si="20"/>
        <v>1</v>
      </c>
      <c r="N122" t="s">
        <v>0</v>
      </c>
      <c r="O122" t="s">
        <v>72</v>
      </c>
      <c r="P122" t="s">
        <v>191</v>
      </c>
      <c r="Q122" t="s">
        <v>95</v>
      </c>
    </row>
    <row r="123" spans="1:17" x14ac:dyDescent="0.3">
      <c r="A123" t="s">
        <v>168</v>
      </c>
      <c r="B123" t="s">
        <v>243</v>
      </c>
      <c r="C123" t="s">
        <v>170</v>
      </c>
      <c r="D123" t="s">
        <v>244</v>
      </c>
      <c r="E123" t="s">
        <v>59</v>
      </c>
      <c r="F123" t="str">
        <f t="shared" si="25"/>
        <v>CS</v>
      </c>
      <c r="G123">
        <f t="shared" si="18"/>
        <v>1</v>
      </c>
      <c r="H123" t="s">
        <v>25</v>
      </c>
      <c r="I123" t="str">
        <f t="shared" si="26"/>
        <v>CS</v>
      </c>
      <c r="J123" t="str">
        <f t="shared" si="27"/>
        <v>Yes</v>
      </c>
      <c r="K123">
        <f t="shared" si="19"/>
        <v>1</v>
      </c>
      <c r="L123" t="str">
        <f t="shared" si="28"/>
        <v>No</v>
      </c>
      <c r="M123">
        <f t="shared" si="20"/>
        <v>0</v>
      </c>
      <c r="N123" t="s">
        <v>0</v>
      </c>
      <c r="O123" t="s">
        <v>72</v>
      </c>
      <c r="P123" t="s">
        <v>191</v>
      </c>
      <c r="Q123" t="s">
        <v>95</v>
      </c>
    </row>
    <row r="124" spans="1:17" x14ac:dyDescent="0.3">
      <c r="A124" t="s">
        <v>173</v>
      </c>
      <c r="B124" t="s">
        <v>245</v>
      </c>
      <c r="C124" t="s">
        <v>175</v>
      </c>
      <c r="D124" t="s">
        <v>246</v>
      </c>
      <c r="E124" t="s">
        <v>59</v>
      </c>
      <c r="F124" t="str">
        <f t="shared" si="25"/>
        <v>CS</v>
      </c>
      <c r="G124">
        <f t="shared" si="18"/>
        <v>1</v>
      </c>
      <c r="H124" t="s">
        <v>10</v>
      </c>
      <c r="I124" t="str">
        <f t="shared" si="26"/>
        <v>R</v>
      </c>
      <c r="J124" t="str">
        <f t="shared" si="27"/>
        <v>No</v>
      </c>
      <c r="K124">
        <f t="shared" si="19"/>
        <v>0</v>
      </c>
      <c r="L124" t="str">
        <f t="shared" si="28"/>
        <v>No</v>
      </c>
      <c r="M124">
        <f t="shared" si="20"/>
        <v>0</v>
      </c>
      <c r="N124" t="s">
        <v>0</v>
      </c>
      <c r="O124" t="s">
        <v>72</v>
      </c>
      <c r="P124" t="s">
        <v>191</v>
      </c>
      <c r="Q124" t="s">
        <v>95</v>
      </c>
    </row>
    <row r="125" spans="1:17" x14ac:dyDescent="0.3">
      <c r="A125" t="s">
        <v>173</v>
      </c>
      <c r="B125" t="s">
        <v>245</v>
      </c>
      <c r="C125" t="s">
        <v>177</v>
      </c>
      <c r="D125" t="s">
        <v>247</v>
      </c>
      <c r="E125" t="s">
        <v>172</v>
      </c>
      <c r="F125" t="str">
        <f t="shared" si="25"/>
        <v>CS</v>
      </c>
      <c r="G125">
        <f t="shared" si="18"/>
        <v>1</v>
      </c>
      <c r="H125" t="s">
        <v>10</v>
      </c>
      <c r="I125" t="str">
        <f t="shared" si="26"/>
        <v>R</v>
      </c>
      <c r="J125" t="str">
        <f t="shared" si="27"/>
        <v>No</v>
      </c>
      <c r="K125">
        <f t="shared" si="19"/>
        <v>0</v>
      </c>
      <c r="L125" t="str">
        <f t="shared" si="28"/>
        <v>No</v>
      </c>
      <c r="M125">
        <f t="shared" si="20"/>
        <v>0</v>
      </c>
      <c r="N125" t="s">
        <v>0</v>
      </c>
      <c r="O125" t="s">
        <v>72</v>
      </c>
      <c r="P125" t="s">
        <v>191</v>
      </c>
      <c r="Q125" t="s">
        <v>95</v>
      </c>
    </row>
    <row r="126" spans="1:17" x14ac:dyDescent="0.3">
      <c r="A126" t="s">
        <v>179</v>
      </c>
      <c r="B126" t="s">
        <v>248</v>
      </c>
      <c r="C126" t="s">
        <v>181</v>
      </c>
      <c r="D126" t="s">
        <v>249</v>
      </c>
      <c r="E126" t="s">
        <v>59</v>
      </c>
      <c r="F126" t="str">
        <f t="shared" si="25"/>
        <v>CS</v>
      </c>
      <c r="G126">
        <f t="shared" si="18"/>
        <v>1</v>
      </c>
      <c r="H126" t="s">
        <v>59</v>
      </c>
      <c r="I126" t="str">
        <f t="shared" si="26"/>
        <v>CS</v>
      </c>
      <c r="J126" t="str">
        <f t="shared" si="27"/>
        <v>Yes</v>
      </c>
      <c r="K126">
        <f t="shared" si="19"/>
        <v>1</v>
      </c>
      <c r="L126" t="str">
        <f t="shared" si="28"/>
        <v>Yes</v>
      </c>
      <c r="M126">
        <f t="shared" si="20"/>
        <v>1</v>
      </c>
      <c r="N126" t="s">
        <v>0</v>
      </c>
      <c r="O126" t="s">
        <v>72</v>
      </c>
      <c r="P126" t="s">
        <v>191</v>
      </c>
      <c r="Q126" t="s">
        <v>95</v>
      </c>
    </row>
    <row r="127" spans="1:17" x14ac:dyDescent="0.3">
      <c r="A127" t="s">
        <v>179</v>
      </c>
      <c r="B127" t="s">
        <v>248</v>
      </c>
      <c r="C127" t="s">
        <v>183</v>
      </c>
      <c r="D127" t="s">
        <v>250</v>
      </c>
      <c r="E127" t="s">
        <v>10</v>
      </c>
      <c r="F127" t="str">
        <f t="shared" si="25"/>
        <v>R</v>
      </c>
      <c r="G127">
        <f t="shared" si="18"/>
        <v>0</v>
      </c>
      <c r="H127" t="s">
        <v>10</v>
      </c>
      <c r="I127" t="str">
        <f t="shared" si="26"/>
        <v>R</v>
      </c>
      <c r="J127" t="str">
        <f t="shared" si="27"/>
        <v>Yes</v>
      </c>
      <c r="K127">
        <f t="shared" si="19"/>
        <v>1</v>
      </c>
      <c r="L127" t="str">
        <f t="shared" si="28"/>
        <v>Yes</v>
      </c>
      <c r="M127">
        <f t="shared" si="20"/>
        <v>1</v>
      </c>
      <c r="N127" t="s">
        <v>0</v>
      </c>
      <c r="O127" t="s">
        <v>72</v>
      </c>
      <c r="P127" t="s">
        <v>191</v>
      </c>
      <c r="Q127" t="s">
        <v>95</v>
      </c>
    </row>
    <row r="128" spans="1:17" x14ac:dyDescent="0.3">
      <c r="A128" t="s">
        <v>179</v>
      </c>
      <c r="B128" t="s">
        <v>248</v>
      </c>
      <c r="C128" t="s">
        <v>185</v>
      </c>
      <c r="D128" t="s">
        <v>251</v>
      </c>
      <c r="E128" t="s">
        <v>10</v>
      </c>
      <c r="F128" t="str">
        <f t="shared" si="25"/>
        <v>R</v>
      </c>
      <c r="G128">
        <f t="shared" si="18"/>
        <v>0</v>
      </c>
      <c r="H128" t="s">
        <v>10</v>
      </c>
      <c r="I128" t="str">
        <f t="shared" si="26"/>
        <v>R</v>
      </c>
      <c r="J128" t="str">
        <f t="shared" si="27"/>
        <v>Yes</v>
      </c>
      <c r="K128">
        <f t="shared" si="19"/>
        <v>1</v>
      </c>
      <c r="L128" t="str">
        <f t="shared" si="28"/>
        <v>Yes</v>
      </c>
      <c r="M128">
        <f t="shared" si="20"/>
        <v>1</v>
      </c>
      <c r="N128" t="s">
        <v>0</v>
      </c>
      <c r="O128" t="s">
        <v>72</v>
      </c>
      <c r="P128" t="s">
        <v>191</v>
      </c>
      <c r="Q128" t="s">
        <v>95</v>
      </c>
    </row>
    <row r="129" spans="1:17" x14ac:dyDescent="0.3">
      <c r="A129" t="s">
        <v>179</v>
      </c>
      <c r="B129" t="s">
        <v>248</v>
      </c>
      <c r="C129" t="s">
        <v>187</v>
      </c>
      <c r="D129" t="s">
        <v>252</v>
      </c>
      <c r="E129" t="s">
        <v>10</v>
      </c>
      <c r="F129" t="str">
        <f t="shared" si="25"/>
        <v>R</v>
      </c>
      <c r="G129">
        <f t="shared" si="18"/>
        <v>0</v>
      </c>
      <c r="H129" t="s">
        <v>10</v>
      </c>
      <c r="I129" t="str">
        <f t="shared" si="26"/>
        <v>R</v>
      </c>
      <c r="J129" t="str">
        <f t="shared" si="27"/>
        <v>Yes</v>
      </c>
      <c r="K129">
        <f t="shared" si="19"/>
        <v>1</v>
      </c>
      <c r="L129" t="str">
        <f t="shared" si="28"/>
        <v>Yes</v>
      </c>
      <c r="M129">
        <f t="shared" si="20"/>
        <v>1</v>
      </c>
      <c r="N129" t="s">
        <v>0</v>
      </c>
      <c r="O129" t="s">
        <v>72</v>
      </c>
      <c r="P129" t="s">
        <v>191</v>
      </c>
      <c r="Q129" t="s">
        <v>95</v>
      </c>
    </row>
    <row r="130" spans="1:17" x14ac:dyDescent="0.3">
      <c r="A130" t="s">
        <v>179</v>
      </c>
      <c r="B130" t="s">
        <v>248</v>
      </c>
      <c r="C130" t="s">
        <v>189</v>
      </c>
      <c r="D130" t="s">
        <v>253</v>
      </c>
      <c r="E130" t="s">
        <v>10</v>
      </c>
      <c r="F130" t="str">
        <f t="shared" si="25"/>
        <v>R</v>
      </c>
      <c r="G130">
        <f t="shared" si="18"/>
        <v>0</v>
      </c>
      <c r="H130" t="s">
        <v>10</v>
      </c>
      <c r="I130" t="str">
        <f t="shared" si="26"/>
        <v>R</v>
      </c>
      <c r="J130" t="str">
        <f t="shared" si="27"/>
        <v>Yes</v>
      </c>
      <c r="K130">
        <f t="shared" si="19"/>
        <v>1</v>
      </c>
      <c r="L130" t="str">
        <f t="shared" si="28"/>
        <v>Yes</v>
      </c>
      <c r="M130">
        <f t="shared" si="20"/>
        <v>1</v>
      </c>
      <c r="N130" t="s">
        <v>0</v>
      </c>
      <c r="O130" t="s">
        <v>72</v>
      </c>
      <c r="P130" t="s">
        <v>191</v>
      </c>
      <c r="Q130" t="s">
        <v>95</v>
      </c>
    </row>
    <row r="131" spans="1:17" x14ac:dyDescent="0.3">
      <c r="A131" t="s">
        <v>255</v>
      </c>
      <c r="B131" t="s">
        <v>256</v>
      </c>
      <c r="C131" t="s">
        <v>257</v>
      </c>
      <c r="D131" t="s">
        <v>258</v>
      </c>
      <c r="E131" s="1" t="s">
        <v>10</v>
      </c>
      <c r="F131" t="str">
        <f>IF(E131="R", "R", "CS")</f>
        <v>R</v>
      </c>
      <c r="G131">
        <f t="shared" ref="G131:G194" si="29">IF(F131="R",0,(IF(F131="CS",1,"HELP")))</f>
        <v>0</v>
      </c>
      <c r="H131" t="s">
        <v>25</v>
      </c>
      <c r="I131" t="str">
        <f>IF(H131="R", "R", "CS")</f>
        <v>CS</v>
      </c>
      <c r="J131" t="str">
        <f>IF(F131=I131, "Yes", "No")</f>
        <v>No</v>
      </c>
      <c r="K131">
        <f t="shared" ref="K131:K194" si="30">IF(J131="Yes", 1, 0)</f>
        <v>0</v>
      </c>
      <c r="L131" t="str">
        <f>IF(E131=H131, "Yes", "No")</f>
        <v>No</v>
      </c>
      <c r="M131">
        <f t="shared" ref="M131:M194" si="31">IF(L131="Yes", 1, 0)</f>
        <v>0</v>
      </c>
      <c r="N131" t="s">
        <v>0</v>
      </c>
      <c r="O131" t="s">
        <v>72</v>
      </c>
      <c r="P131" t="s">
        <v>254</v>
      </c>
      <c r="Q131" t="s">
        <v>3</v>
      </c>
    </row>
    <row r="132" spans="1:17" x14ac:dyDescent="0.3">
      <c r="A132" t="s">
        <v>255</v>
      </c>
      <c r="B132" t="s">
        <v>256</v>
      </c>
      <c r="C132" t="s">
        <v>259</v>
      </c>
      <c r="D132" t="s">
        <v>260</v>
      </c>
      <c r="E132" s="1" t="s">
        <v>10</v>
      </c>
      <c r="F132" t="str">
        <f t="shared" ref="F132:F154" si="32">IF(E132="R", "R", "CS")</f>
        <v>R</v>
      </c>
      <c r="G132">
        <f t="shared" si="29"/>
        <v>0</v>
      </c>
      <c r="H132" t="s">
        <v>25</v>
      </c>
      <c r="I132" t="str">
        <f t="shared" ref="I132:I154" si="33">IF(H132="R", "R", "CS")</f>
        <v>CS</v>
      </c>
      <c r="J132" t="str">
        <f t="shared" ref="J132:J154" si="34">IF(F132=I132, "Yes", "No")</f>
        <v>No</v>
      </c>
      <c r="K132">
        <f t="shared" si="30"/>
        <v>0</v>
      </c>
      <c r="L132" t="str">
        <f t="shared" ref="L132:L154" si="35">IF(E132=H132, "Yes", "No")</f>
        <v>No</v>
      </c>
      <c r="M132">
        <f t="shared" si="31"/>
        <v>0</v>
      </c>
      <c r="N132" t="s">
        <v>0</v>
      </c>
      <c r="O132" t="s">
        <v>72</v>
      </c>
      <c r="P132" t="s">
        <v>254</v>
      </c>
      <c r="Q132" t="s">
        <v>3</v>
      </c>
    </row>
    <row r="133" spans="1:17" x14ac:dyDescent="0.3">
      <c r="A133" t="s">
        <v>255</v>
      </c>
      <c r="B133" t="s">
        <v>256</v>
      </c>
      <c r="C133" t="s">
        <v>261</v>
      </c>
      <c r="D133" t="s">
        <v>262</v>
      </c>
      <c r="E133" s="1" t="s">
        <v>59</v>
      </c>
      <c r="F133" t="str">
        <f t="shared" si="32"/>
        <v>CS</v>
      </c>
      <c r="G133">
        <f t="shared" si="29"/>
        <v>1</v>
      </c>
      <c r="H133" t="s">
        <v>59</v>
      </c>
      <c r="I133" t="str">
        <f t="shared" si="33"/>
        <v>CS</v>
      </c>
      <c r="J133" t="str">
        <f t="shared" si="34"/>
        <v>Yes</v>
      </c>
      <c r="K133">
        <f t="shared" si="30"/>
        <v>1</v>
      </c>
      <c r="L133" t="str">
        <f t="shared" si="35"/>
        <v>Yes</v>
      </c>
      <c r="M133">
        <f t="shared" si="31"/>
        <v>1</v>
      </c>
      <c r="N133" t="s">
        <v>0</v>
      </c>
      <c r="O133" t="s">
        <v>72</v>
      </c>
      <c r="P133" t="s">
        <v>254</v>
      </c>
      <c r="Q133" t="s">
        <v>3</v>
      </c>
    </row>
    <row r="134" spans="1:17" x14ac:dyDescent="0.3">
      <c r="A134" t="s">
        <v>255</v>
      </c>
      <c r="B134" t="s">
        <v>256</v>
      </c>
      <c r="C134" t="s">
        <v>263</v>
      </c>
      <c r="D134" t="s">
        <v>264</v>
      </c>
      <c r="E134" s="1" t="s">
        <v>10</v>
      </c>
      <c r="F134" t="str">
        <f t="shared" si="32"/>
        <v>R</v>
      </c>
      <c r="G134">
        <f t="shared" si="29"/>
        <v>0</v>
      </c>
      <c r="H134" t="s">
        <v>10</v>
      </c>
      <c r="I134" t="str">
        <f t="shared" si="33"/>
        <v>R</v>
      </c>
      <c r="J134" t="str">
        <f t="shared" si="34"/>
        <v>Yes</v>
      </c>
      <c r="K134">
        <f t="shared" si="30"/>
        <v>1</v>
      </c>
      <c r="L134" t="str">
        <f t="shared" si="35"/>
        <v>Yes</v>
      </c>
      <c r="M134">
        <f t="shared" si="31"/>
        <v>1</v>
      </c>
      <c r="N134" t="s">
        <v>0</v>
      </c>
      <c r="O134" t="s">
        <v>72</v>
      </c>
      <c r="P134" t="s">
        <v>254</v>
      </c>
      <c r="Q134" t="s">
        <v>3</v>
      </c>
    </row>
    <row r="135" spans="1:17" x14ac:dyDescent="0.3">
      <c r="A135" t="s">
        <v>265</v>
      </c>
      <c r="B135" t="s">
        <v>266</v>
      </c>
      <c r="C135" t="s">
        <v>267</v>
      </c>
      <c r="D135" t="s">
        <v>268</v>
      </c>
      <c r="E135" s="1" t="s">
        <v>59</v>
      </c>
      <c r="F135" t="str">
        <f t="shared" si="32"/>
        <v>CS</v>
      </c>
      <c r="G135">
        <f t="shared" si="29"/>
        <v>1</v>
      </c>
      <c r="H135" t="s">
        <v>10</v>
      </c>
      <c r="I135" t="str">
        <f t="shared" si="33"/>
        <v>R</v>
      </c>
      <c r="J135" t="str">
        <f t="shared" si="34"/>
        <v>No</v>
      </c>
      <c r="K135">
        <f t="shared" si="30"/>
        <v>0</v>
      </c>
      <c r="L135" t="str">
        <f t="shared" si="35"/>
        <v>No</v>
      </c>
      <c r="M135">
        <f t="shared" si="31"/>
        <v>0</v>
      </c>
      <c r="N135" t="s">
        <v>0</v>
      </c>
      <c r="O135" t="s">
        <v>72</v>
      </c>
      <c r="P135" t="s">
        <v>254</v>
      </c>
      <c r="Q135" t="s">
        <v>3</v>
      </c>
    </row>
    <row r="136" spans="1:17" x14ac:dyDescent="0.3">
      <c r="A136" t="s">
        <v>265</v>
      </c>
      <c r="B136" t="s">
        <v>266</v>
      </c>
      <c r="C136" t="s">
        <v>269</v>
      </c>
      <c r="D136" t="s">
        <v>270</v>
      </c>
      <c r="E136" s="1" t="s">
        <v>10</v>
      </c>
      <c r="F136" t="str">
        <f t="shared" si="32"/>
        <v>R</v>
      </c>
      <c r="G136">
        <f t="shared" si="29"/>
        <v>0</v>
      </c>
      <c r="H136" t="s">
        <v>10</v>
      </c>
      <c r="I136" t="str">
        <f t="shared" si="33"/>
        <v>R</v>
      </c>
      <c r="J136" t="str">
        <f t="shared" si="34"/>
        <v>Yes</v>
      </c>
      <c r="K136">
        <f t="shared" si="30"/>
        <v>1</v>
      </c>
      <c r="L136" t="str">
        <f t="shared" si="35"/>
        <v>Yes</v>
      </c>
      <c r="M136">
        <f t="shared" si="31"/>
        <v>1</v>
      </c>
      <c r="N136" t="s">
        <v>0</v>
      </c>
      <c r="O136" t="s">
        <v>72</v>
      </c>
      <c r="P136" t="s">
        <v>254</v>
      </c>
      <c r="Q136" t="s">
        <v>3</v>
      </c>
    </row>
    <row r="137" spans="1:17" x14ac:dyDescent="0.3">
      <c r="A137" t="s">
        <v>265</v>
      </c>
      <c r="B137" t="s">
        <v>266</v>
      </c>
      <c r="C137" t="s">
        <v>271</v>
      </c>
      <c r="D137" t="s">
        <v>272</v>
      </c>
      <c r="E137" s="1" t="s">
        <v>10</v>
      </c>
      <c r="F137" t="str">
        <f t="shared" si="32"/>
        <v>R</v>
      </c>
      <c r="G137">
        <f t="shared" si="29"/>
        <v>0</v>
      </c>
      <c r="H137" t="s">
        <v>25</v>
      </c>
      <c r="I137" t="str">
        <f t="shared" si="33"/>
        <v>CS</v>
      </c>
      <c r="J137" t="str">
        <f t="shared" si="34"/>
        <v>No</v>
      </c>
      <c r="K137">
        <f t="shared" si="30"/>
        <v>0</v>
      </c>
      <c r="L137" t="str">
        <f t="shared" si="35"/>
        <v>No</v>
      </c>
      <c r="M137">
        <f t="shared" si="31"/>
        <v>0</v>
      </c>
      <c r="N137" t="s">
        <v>0</v>
      </c>
      <c r="O137" t="s">
        <v>72</v>
      </c>
      <c r="P137" t="s">
        <v>254</v>
      </c>
      <c r="Q137" t="s">
        <v>3</v>
      </c>
    </row>
    <row r="138" spans="1:17" x14ac:dyDescent="0.3">
      <c r="A138" t="s">
        <v>265</v>
      </c>
      <c r="B138" t="s">
        <v>266</v>
      </c>
      <c r="C138" t="s">
        <v>273</v>
      </c>
      <c r="D138" t="s">
        <v>274</v>
      </c>
      <c r="E138" s="1" t="s">
        <v>10</v>
      </c>
      <c r="F138" t="str">
        <f t="shared" si="32"/>
        <v>R</v>
      </c>
      <c r="G138">
        <f t="shared" si="29"/>
        <v>0</v>
      </c>
      <c r="H138" t="s">
        <v>59</v>
      </c>
      <c r="I138" t="str">
        <f t="shared" si="33"/>
        <v>CS</v>
      </c>
      <c r="J138" t="str">
        <f t="shared" si="34"/>
        <v>No</v>
      </c>
      <c r="K138">
        <f t="shared" si="30"/>
        <v>0</v>
      </c>
      <c r="L138" t="str">
        <f t="shared" si="35"/>
        <v>No</v>
      </c>
      <c r="M138">
        <f t="shared" si="31"/>
        <v>0</v>
      </c>
      <c r="N138" t="s">
        <v>0</v>
      </c>
      <c r="O138" t="s">
        <v>72</v>
      </c>
      <c r="P138" t="s">
        <v>254</v>
      </c>
      <c r="Q138" t="s">
        <v>3</v>
      </c>
    </row>
    <row r="139" spans="1:17" x14ac:dyDescent="0.3">
      <c r="A139" t="s">
        <v>275</v>
      </c>
      <c r="B139" t="s">
        <v>276</v>
      </c>
      <c r="C139" t="s">
        <v>277</v>
      </c>
      <c r="D139" t="s">
        <v>278</v>
      </c>
      <c r="E139" s="1" t="s">
        <v>10</v>
      </c>
      <c r="F139" t="str">
        <f t="shared" si="32"/>
        <v>R</v>
      </c>
      <c r="G139">
        <f t="shared" si="29"/>
        <v>0</v>
      </c>
      <c r="H139" t="s">
        <v>10</v>
      </c>
      <c r="I139" t="str">
        <f t="shared" si="33"/>
        <v>R</v>
      </c>
      <c r="J139" t="str">
        <f t="shared" si="34"/>
        <v>Yes</v>
      </c>
      <c r="K139">
        <f t="shared" si="30"/>
        <v>1</v>
      </c>
      <c r="L139" t="str">
        <f t="shared" si="35"/>
        <v>Yes</v>
      </c>
      <c r="M139">
        <f t="shared" si="31"/>
        <v>1</v>
      </c>
      <c r="N139" t="s">
        <v>0</v>
      </c>
      <c r="O139" t="s">
        <v>72</v>
      </c>
      <c r="P139" t="s">
        <v>254</v>
      </c>
      <c r="Q139" t="s">
        <v>3</v>
      </c>
    </row>
    <row r="140" spans="1:17" x14ac:dyDescent="0.3">
      <c r="A140" t="s">
        <v>275</v>
      </c>
      <c r="B140" t="s">
        <v>276</v>
      </c>
      <c r="C140" t="s">
        <v>279</v>
      </c>
      <c r="E140" s="1" t="s">
        <v>144</v>
      </c>
      <c r="F140" t="s">
        <v>144</v>
      </c>
      <c r="G140">
        <v>2</v>
      </c>
      <c r="H140" t="s">
        <v>144</v>
      </c>
      <c r="I140" t="s">
        <v>144</v>
      </c>
      <c r="J140" t="str">
        <f t="shared" si="34"/>
        <v>Yes</v>
      </c>
      <c r="K140">
        <f t="shared" si="30"/>
        <v>1</v>
      </c>
      <c r="L140" t="str">
        <f t="shared" si="35"/>
        <v>Yes</v>
      </c>
      <c r="M140">
        <f t="shared" si="31"/>
        <v>1</v>
      </c>
      <c r="N140" t="s">
        <v>0</v>
      </c>
      <c r="O140" t="s">
        <v>72</v>
      </c>
      <c r="P140" t="s">
        <v>254</v>
      </c>
      <c r="Q140" t="s">
        <v>3</v>
      </c>
    </row>
    <row r="141" spans="1:17" x14ac:dyDescent="0.3">
      <c r="A141" t="s">
        <v>275</v>
      </c>
      <c r="B141" t="s">
        <v>276</v>
      </c>
      <c r="C141" t="s">
        <v>280</v>
      </c>
      <c r="D141" t="s">
        <v>281</v>
      </c>
      <c r="E141" s="1" t="s">
        <v>10</v>
      </c>
      <c r="F141" t="str">
        <f t="shared" si="32"/>
        <v>R</v>
      </c>
      <c r="G141">
        <f t="shared" si="29"/>
        <v>0</v>
      </c>
      <c r="H141" t="s">
        <v>10</v>
      </c>
      <c r="I141" t="str">
        <f t="shared" si="33"/>
        <v>R</v>
      </c>
      <c r="J141" t="str">
        <f t="shared" si="34"/>
        <v>Yes</v>
      </c>
      <c r="K141">
        <f t="shared" si="30"/>
        <v>1</v>
      </c>
      <c r="L141" t="str">
        <f t="shared" si="35"/>
        <v>Yes</v>
      </c>
      <c r="M141">
        <f t="shared" si="31"/>
        <v>1</v>
      </c>
      <c r="N141" t="s">
        <v>0</v>
      </c>
      <c r="O141" t="s">
        <v>72</v>
      </c>
      <c r="P141" t="s">
        <v>254</v>
      </c>
      <c r="Q141" t="s">
        <v>3</v>
      </c>
    </row>
    <row r="142" spans="1:17" x14ac:dyDescent="0.3">
      <c r="A142" t="s">
        <v>275</v>
      </c>
      <c r="B142" t="s">
        <v>276</v>
      </c>
      <c r="C142" t="s">
        <v>282</v>
      </c>
      <c r="D142" t="s">
        <v>283</v>
      </c>
      <c r="E142" s="1" t="s">
        <v>59</v>
      </c>
      <c r="F142" t="str">
        <f t="shared" si="32"/>
        <v>CS</v>
      </c>
      <c r="G142">
        <f t="shared" si="29"/>
        <v>1</v>
      </c>
      <c r="H142" t="s">
        <v>25</v>
      </c>
      <c r="I142" t="str">
        <f t="shared" si="33"/>
        <v>CS</v>
      </c>
      <c r="J142" t="str">
        <f t="shared" si="34"/>
        <v>Yes</v>
      </c>
      <c r="K142">
        <f t="shared" si="30"/>
        <v>1</v>
      </c>
      <c r="L142" t="str">
        <f t="shared" si="35"/>
        <v>No</v>
      </c>
      <c r="M142">
        <f t="shared" si="31"/>
        <v>0</v>
      </c>
      <c r="N142" t="s">
        <v>0</v>
      </c>
      <c r="O142" t="s">
        <v>72</v>
      </c>
      <c r="P142" t="s">
        <v>254</v>
      </c>
      <c r="Q142" t="s">
        <v>3</v>
      </c>
    </row>
    <row r="143" spans="1:17" x14ac:dyDescent="0.3">
      <c r="A143" t="s">
        <v>284</v>
      </c>
      <c r="B143" t="s">
        <v>285</v>
      </c>
      <c r="C143" t="s">
        <v>286</v>
      </c>
      <c r="D143" t="s">
        <v>287</v>
      </c>
      <c r="E143" s="1" t="s">
        <v>59</v>
      </c>
      <c r="F143" t="str">
        <f t="shared" si="32"/>
        <v>CS</v>
      </c>
      <c r="G143">
        <f t="shared" si="29"/>
        <v>1</v>
      </c>
      <c r="H143" t="s">
        <v>59</v>
      </c>
      <c r="I143" t="str">
        <f t="shared" si="33"/>
        <v>CS</v>
      </c>
      <c r="J143" t="str">
        <f t="shared" si="34"/>
        <v>Yes</v>
      </c>
      <c r="K143">
        <f t="shared" si="30"/>
        <v>1</v>
      </c>
      <c r="L143" t="str">
        <f t="shared" si="35"/>
        <v>Yes</v>
      </c>
      <c r="M143">
        <f t="shared" si="31"/>
        <v>1</v>
      </c>
      <c r="N143" t="s">
        <v>0</v>
      </c>
      <c r="O143" t="s">
        <v>72</v>
      </c>
      <c r="P143" t="s">
        <v>254</v>
      </c>
      <c r="Q143" t="s">
        <v>3</v>
      </c>
    </row>
    <row r="144" spans="1:17" x14ac:dyDescent="0.3">
      <c r="A144" t="s">
        <v>284</v>
      </c>
      <c r="B144" t="s">
        <v>285</v>
      </c>
      <c r="C144" t="s">
        <v>288</v>
      </c>
      <c r="D144" t="s">
        <v>289</v>
      </c>
      <c r="E144" s="1" t="s">
        <v>10</v>
      </c>
      <c r="F144" t="str">
        <f t="shared" si="32"/>
        <v>R</v>
      </c>
      <c r="G144">
        <f t="shared" si="29"/>
        <v>0</v>
      </c>
      <c r="H144" t="s">
        <v>10</v>
      </c>
      <c r="I144" t="str">
        <f t="shared" si="33"/>
        <v>R</v>
      </c>
      <c r="J144" t="str">
        <f t="shared" si="34"/>
        <v>Yes</v>
      </c>
      <c r="K144">
        <f t="shared" si="30"/>
        <v>1</v>
      </c>
      <c r="L144" t="str">
        <f t="shared" si="35"/>
        <v>Yes</v>
      </c>
      <c r="M144">
        <f t="shared" si="31"/>
        <v>1</v>
      </c>
      <c r="N144" t="s">
        <v>0</v>
      </c>
      <c r="O144" t="s">
        <v>72</v>
      </c>
      <c r="P144" t="s">
        <v>254</v>
      </c>
      <c r="Q144" t="s">
        <v>3</v>
      </c>
    </row>
    <row r="145" spans="1:17" x14ac:dyDescent="0.3">
      <c r="A145" t="s">
        <v>290</v>
      </c>
      <c r="B145" t="s">
        <v>291</v>
      </c>
      <c r="C145" t="s">
        <v>292</v>
      </c>
      <c r="D145" t="s">
        <v>293</v>
      </c>
      <c r="E145" s="1" t="s">
        <v>172</v>
      </c>
      <c r="F145" t="str">
        <f t="shared" si="32"/>
        <v>CS</v>
      </c>
      <c r="G145">
        <f t="shared" si="29"/>
        <v>1</v>
      </c>
      <c r="H145" t="s">
        <v>10</v>
      </c>
      <c r="I145" t="str">
        <f t="shared" si="33"/>
        <v>R</v>
      </c>
      <c r="J145" t="str">
        <f t="shared" si="34"/>
        <v>No</v>
      </c>
      <c r="K145">
        <f t="shared" si="30"/>
        <v>0</v>
      </c>
      <c r="L145" t="str">
        <f t="shared" si="35"/>
        <v>No</v>
      </c>
      <c r="M145">
        <f t="shared" si="31"/>
        <v>0</v>
      </c>
      <c r="N145" t="s">
        <v>0</v>
      </c>
      <c r="O145" t="s">
        <v>72</v>
      </c>
      <c r="P145" t="s">
        <v>254</v>
      </c>
      <c r="Q145" t="s">
        <v>3</v>
      </c>
    </row>
    <row r="146" spans="1:17" x14ac:dyDescent="0.3">
      <c r="A146" t="s">
        <v>290</v>
      </c>
      <c r="B146" t="s">
        <v>291</v>
      </c>
      <c r="C146" t="s">
        <v>294</v>
      </c>
      <c r="D146" t="s">
        <v>295</v>
      </c>
      <c r="E146" s="1" t="s">
        <v>172</v>
      </c>
      <c r="F146" t="str">
        <f t="shared" si="32"/>
        <v>CS</v>
      </c>
      <c r="G146">
        <f t="shared" si="29"/>
        <v>1</v>
      </c>
      <c r="H146" t="s">
        <v>59</v>
      </c>
      <c r="I146" t="str">
        <f t="shared" si="33"/>
        <v>CS</v>
      </c>
      <c r="J146" t="str">
        <f t="shared" si="34"/>
        <v>Yes</v>
      </c>
      <c r="K146">
        <f t="shared" si="30"/>
        <v>1</v>
      </c>
      <c r="L146" t="str">
        <f t="shared" si="35"/>
        <v>No</v>
      </c>
      <c r="M146">
        <f t="shared" si="31"/>
        <v>0</v>
      </c>
      <c r="N146" t="s">
        <v>0</v>
      </c>
      <c r="O146" t="s">
        <v>72</v>
      </c>
      <c r="P146" t="s">
        <v>254</v>
      </c>
      <c r="Q146" t="s">
        <v>3</v>
      </c>
    </row>
    <row r="147" spans="1:17" x14ac:dyDescent="0.3">
      <c r="A147" t="s">
        <v>296</v>
      </c>
      <c r="B147" t="s">
        <v>297</v>
      </c>
      <c r="C147" t="s">
        <v>298</v>
      </c>
      <c r="D147" t="s">
        <v>299</v>
      </c>
      <c r="E147" s="1" t="s">
        <v>10</v>
      </c>
      <c r="F147" t="str">
        <f t="shared" si="32"/>
        <v>R</v>
      </c>
      <c r="G147">
        <f t="shared" si="29"/>
        <v>0</v>
      </c>
      <c r="H147" t="s">
        <v>10</v>
      </c>
      <c r="I147" t="str">
        <f t="shared" si="33"/>
        <v>R</v>
      </c>
      <c r="J147" t="str">
        <f t="shared" si="34"/>
        <v>Yes</v>
      </c>
      <c r="K147">
        <f t="shared" si="30"/>
        <v>1</v>
      </c>
      <c r="L147" t="str">
        <f t="shared" si="35"/>
        <v>Yes</v>
      </c>
      <c r="M147">
        <f t="shared" si="31"/>
        <v>1</v>
      </c>
      <c r="N147" t="s">
        <v>0</v>
      </c>
      <c r="O147" t="s">
        <v>72</v>
      </c>
      <c r="P147" t="s">
        <v>254</v>
      </c>
      <c r="Q147" t="s">
        <v>3</v>
      </c>
    </row>
    <row r="148" spans="1:17" x14ac:dyDescent="0.3">
      <c r="A148" t="s">
        <v>296</v>
      </c>
      <c r="B148" t="s">
        <v>297</v>
      </c>
      <c r="C148" t="s">
        <v>300</v>
      </c>
      <c r="D148" t="s">
        <v>301</v>
      </c>
      <c r="E148" s="1" t="s">
        <v>10</v>
      </c>
      <c r="F148" t="str">
        <f t="shared" si="32"/>
        <v>R</v>
      </c>
      <c r="G148">
        <f t="shared" si="29"/>
        <v>0</v>
      </c>
      <c r="H148" t="s">
        <v>10</v>
      </c>
      <c r="I148" t="str">
        <f t="shared" si="33"/>
        <v>R</v>
      </c>
      <c r="J148" t="str">
        <f t="shared" si="34"/>
        <v>Yes</v>
      </c>
      <c r="K148">
        <f t="shared" si="30"/>
        <v>1</v>
      </c>
      <c r="L148" t="str">
        <f t="shared" si="35"/>
        <v>Yes</v>
      </c>
      <c r="M148">
        <f t="shared" si="31"/>
        <v>1</v>
      </c>
      <c r="N148" t="s">
        <v>0</v>
      </c>
      <c r="O148" t="s">
        <v>72</v>
      </c>
      <c r="P148" t="s">
        <v>254</v>
      </c>
      <c r="Q148" t="s">
        <v>3</v>
      </c>
    </row>
    <row r="149" spans="1:17" x14ac:dyDescent="0.3">
      <c r="A149" t="s">
        <v>302</v>
      </c>
      <c r="B149" t="s">
        <v>303</v>
      </c>
      <c r="C149" t="s">
        <v>304</v>
      </c>
      <c r="D149" t="s">
        <v>305</v>
      </c>
      <c r="E149" s="1" t="s">
        <v>59</v>
      </c>
      <c r="F149" t="str">
        <f t="shared" si="32"/>
        <v>CS</v>
      </c>
      <c r="G149">
        <f t="shared" si="29"/>
        <v>1</v>
      </c>
      <c r="H149" t="s">
        <v>25</v>
      </c>
      <c r="I149" t="str">
        <f t="shared" si="33"/>
        <v>CS</v>
      </c>
      <c r="J149" t="str">
        <f t="shared" si="34"/>
        <v>Yes</v>
      </c>
      <c r="K149">
        <f t="shared" si="30"/>
        <v>1</v>
      </c>
      <c r="L149" t="str">
        <f t="shared" si="35"/>
        <v>No</v>
      </c>
      <c r="M149">
        <f t="shared" si="31"/>
        <v>0</v>
      </c>
      <c r="N149" t="s">
        <v>0</v>
      </c>
      <c r="O149" t="s">
        <v>72</v>
      </c>
      <c r="P149" t="s">
        <v>254</v>
      </c>
      <c r="Q149" t="s">
        <v>3</v>
      </c>
    </row>
    <row r="150" spans="1:17" x14ac:dyDescent="0.3">
      <c r="A150" t="s">
        <v>302</v>
      </c>
      <c r="B150" t="s">
        <v>303</v>
      </c>
      <c r="C150" t="s">
        <v>306</v>
      </c>
      <c r="D150" t="s">
        <v>307</v>
      </c>
      <c r="E150" s="1" t="s">
        <v>172</v>
      </c>
      <c r="F150" t="str">
        <f t="shared" si="32"/>
        <v>CS</v>
      </c>
      <c r="G150">
        <f t="shared" si="29"/>
        <v>1</v>
      </c>
      <c r="H150" t="s">
        <v>10</v>
      </c>
      <c r="I150" t="str">
        <f t="shared" si="33"/>
        <v>R</v>
      </c>
      <c r="J150" t="str">
        <f t="shared" si="34"/>
        <v>No</v>
      </c>
      <c r="K150">
        <f t="shared" si="30"/>
        <v>0</v>
      </c>
      <c r="L150" t="str">
        <f t="shared" si="35"/>
        <v>No</v>
      </c>
      <c r="M150">
        <f t="shared" si="31"/>
        <v>0</v>
      </c>
      <c r="N150" t="s">
        <v>0</v>
      </c>
      <c r="O150" t="s">
        <v>72</v>
      </c>
      <c r="P150" t="s">
        <v>254</v>
      </c>
      <c r="Q150" t="s">
        <v>3</v>
      </c>
    </row>
    <row r="151" spans="1:17" x14ac:dyDescent="0.3">
      <c r="A151" t="s">
        <v>308</v>
      </c>
      <c r="B151" t="s">
        <v>309</v>
      </c>
      <c r="C151" t="s">
        <v>310</v>
      </c>
      <c r="D151" t="s">
        <v>311</v>
      </c>
      <c r="E151" s="1" t="s">
        <v>10</v>
      </c>
      <c r="F151" t="str">
        <f t="shared" si="32"/>
        <v>R</v>
      </c>
      <c r="G151">
        <f t="shared" si="29"/>
        <v>0</v>
      </c>
      <c r="H151" t="s">
        <v>10</v>
      </c>
      <c r="I151" t="str">
        <f t="shared" si="33"/>
        <v>R</v>
      </c>
      <c r="J151" t="str">
        <f t="shared" si="34"/>
        <v>Yes</v>
      </c>
      <c r="K151">
        <f t="shared" si="30"/>
        <v>1</v>
      </c>
      <c r="L151" t="str">
        <f t="shared" si="35"/>
        <v>Yes</v>
      </c>
      <c r="M151">
        <f t="shared" si="31"/>
        <v>1</v>
      </c>
      <c r="N151" t="s">
        <v>0</v>
      </c>
      <c r="O151" t="s">
        <v>72</v>
      </c>
      <c r="P151" t="s">
        <v>254</v>
      </c>
      <c r="Q151" t="s">
        <v>3</v>
      </c>
    </row>
    <row r="152" spans="1:17" x14ac:dyDescent="0.3">
      <c r="A152" t="s">
        <v>308</v>
      </c>
      <c r="B152" t="s">
        <v>309</v>
      </c>
      <c r="C152" t="s">
        <v>312</v>
      </c>
      <c r="D152" t="s">
        <v>313</v>
      </c>
      <c r="E152" s="1" t="s">
        <v>172</v>
      </c>
      <c r="F152" t="str">
        <f t="shared" si="32"/>
        <v>CS</v>
      </c>
      <c r="G152">
        <f t="shared" si="29"/>
        <v>1</v>
      </c>
      <c r="H152" t="s">
        <v>59</v>
      </c>
      <c r="I152" t="str">
        <f t="shared" si="33"/>
        <v>CS</v>
      </c>
      <c r="J152" t="str">
        <f t="shared" si="34"/>
        <v>Yes</v>
      </c>
      <c r="K152">
        <f t="shared" si="30"/>
        <v>1</v>
      </c>
      <c r="L152" t="str">
        <f t="shared" si="35"/>
        <v>No</v>
      </c>
      <c r="M152">
        <f t="shared" si="31"/>
        <v>0</v>
      </c>
      <c r="N152" t="s">
        <v>0</v>
      </c>
      <c r="O152" t="s">
        <v>72</v>
      </c>
      <c r="P152" t="s">
        <v>254</v>
      </c>
      <c r="Q152" t="s">
        <v>3</v>
      </c>
    </row>
    <row r="153" spans="1:17" x14ac:dyDescent="0.3">
      <c r="A153" t="s">
        <v>314</v>
      </c>
      <c r="B153" t="s">
        <v>315</v>
      </c>
      <c r="C153" t="s">
        <v>316</v>
      </c>
      <c r="D153" t="s">
        <v>317</v>
      </c>
      <c r="E153" s="1" t="s">
        <v>59</v>
      </c>
      <c r="F153" t="str">
        <f t="shared" si="32"/>
        <v>CS</v>
      </c>
      <c r="G153">
        <f t="shared" si="29"/>
        <v>1</v>
      </c>
      <c r="H153" t="s">
        <v>59</v>
      </c>
      <c r="I153" t="str">
        <f t="shared" si="33"/>
        <v>CS</v>
      </c>
      <c r="J153" t="str">
        <f t="shared" si="34"/>
        <v>Yes</v>
      </c>
      <c r="K153">
        <f t="shared" si="30"/>
        <v>1</v>
      </c>
      <c r="L153" t="str">
        <f t="shared" si="35"/>
        <v>Yes</v>
      </c>
      <c r="M153">
        <f t="shared" si="31"/>
        <v>1</v>
      </c>
      <c r="N153" t="s">
        <v>0</v>
      </c>
      <c r="O153" t="s">
        <v>72</v>
      </c>
      <c r="P153" t="s">
        <v>254</v>
      </c>
      <c r="Q153" t="s">
        <v>3</v>
      </c>
    </row>
    <row r="154" spans="1:17" x14ac:dyDescent="0.3">
      <c r="A154" t="s">
        <v>318</v>
      </c>
      <c r="B154" t="s">
        <v>319</v>
      </c>
      <c r="C154" t="s">
        <v>320</v>
      </c>
      <c r="D154" t="s">
        <v>321</v>
      </c>
      <c r="E154" s="1" t="s">
        <v>10</v>
      </c>
      <c r="F154" t="str">
        <f t="shared" si="32"/>
        <v>R</v>
      </c>
      <c r="G154">
        <f t="shared" si="29"/>
        <v>0</v>
      </c>
      <c r="H154" t="s">
        <v>10</v>
      </c>
      <c r="I154" t="str">
        <f t="shared" si="33"/>
        <v>R</v>
      </c>
      <c r="J154" t="str">
        <f t="shared" si="34"/>
        <v>Yes</v>
      </c>
      <c r="K154">
        <f t="shared" si="30"/>
        <v>1</v>
      </c>
      <c r="L154" t="str">
        <f t="shared" si="35"/>
        <v>Yes</v>
      </c>
      <c r="M154">
        <f t="shared" si="31"/>
        <v>1</v>
      </c>
      <c r="N154" t="s">
        <v>0</v>
      </c>
      <c r="O154" t="s">
        <v>72</v>
      </c>
      <c r="P154" t="s">
        <v>254</v>
      </c>
      <c r="Q154" t="s">
        <v>3</v>
      </c>
    </row>
    <row r="155" spans="1:17" x14ac:dyDescent="0.3">
      <c r="A155" t="s">
        <v>255</v>
      </c>
      <c r="B155" t="s">
        <v>322</v>
      </c>
      <c r="C155" t="s">
        <v>257</v>
      </c>
      <c r="D155" t="s">
        <v>323</v>
      </c>
      <c r="E155" s="1" t="s">
        <v>10</v>
      </c>
      <c r="F155" t="str">
        <f>IF(E155="R", "R", "CS")</f>
        <v>R</v>
      </c>
      <c r="G155">
        <f t="shared" si="29"/>
        <v>0</v>
      </c>
      <c r="H155" t="s">
        <v>10</v>
      </c>
      <c r="I155" t="str">
        <f>IF(H155="R", "R", "CS")</f>
        <v>R</v>
      </c>
      <c r="J155" t="str">
        <f>IF(F155=I155, "Yes", "No")</f>
        <v>Yes</v>
      </c>
      <c r="K155">
        <f t="shared" si="30"/>
        <v>1</v>
      </c>
      <c r="L155" t="str">
        <f>IF(E155=H155, "Yes", "No")</f>
        <v>Yes</v>
      </c>
      <c r="M155">
        <f t="shared" si="31"/>
        <v>1</v>
      </c>
      <c r="N155" t="s">
        <v>0</v>
      </c>
      <c r="O155" t="s">
        <v>72</v>
      </c>
      <c r="P155" t="s">
        <v>254</v>
      </c>
      <c r="Q155" t="s">
        <v>74</v>
      </c>
    </row>
    <row r="156" spans="1:17" x14ac:dyDescent="0.3">
      <c r="A156" t="s">
        <v>255</v>
      </c>
      <c r="B156" t="s">
        <v>322</v>
      </c>
      <c r="C156" t="s">
        <v>259</v>
      </c>
      <c r="D156" t="s">
        <v>258</v>
      </c>
      <c r="E156" s="1" t="s">
        <v>10</v>
      </c>
      <c r="F156" t="str">
        <f t="shared" ref="F156:F178" si="36">IF(E156="R", "R", "CS")</f>
        <v>R</v>
      </c>
      <c r="G156">
        <f t="shared" si="29"/>
        <v>0</v>
      </c>
      <c r="H156" t="s">
        <v>10</v>
      </c>
      <c r="I156" t="str">
        <f t="shared" ref="I156:I178" si="37">IF(H156="R", "R", "CS")</f>
        <v>R</v>
      </c>
      <c r="J156" t="str">
        <f t="shared" ref="J156:J178" si="38">IF(F156=I156, "Yes", "No")</f>
        <v>Yes</v>
      </c>
      <c r="K156">
        <f t="shared" si="30"/>
        <v>1</v>
      </c>
      <c r="L156" t="str">
        <f t="shared" ref="L156:L178" si="39">IF(E156=H156, "Yes", "No")</f>
        <v>Yes</v>
      </c>
      <c r="M156">
        <f t="shared" si="31"/>
        <v>1</v>
      </c>
      <c r="N156" t="s">
        <v>0</v>
      </c>
      <c r="O156" t="s">
        <v>72</v>
      </c>
      <c r="P156" t="s">
        <v>254</v>
      </c>
      <c r="Q156" t="s">
        <v>74</v>
      </c>
    </row>
    <row r="157" spans="1:17" x14ac:dyDescent="0.3">
      <c r="A157" t="s">
        <v>255</v>
      </c>
      <c r="B157" t="s">
        <v>322</v>
      </c>
      <c r="C157" t="s">
        <v>261</v>
      </c>
      <c r="E157" s="1" t="s">
        <v>144</v>
      </c>
      <c r="F157" t="s">
        <v>144</v>
      </c>
      <c r="G157">
        <v>2</v>
      </c>
      <c r="H157" t="s">
        <v>10</v>
      </c>
      <c r="I157" t="str">
        <f t="shared" si="37"/>
        <v>R</v>
      </c>
      <c r="J157" t="str">
        <f t="shared" si="38"/>
        <v>No</v>
      </c>
      <c r="K157">
        <f t="shared" si="30"/>
        <v>0</v>
      </c>
      <c r="L157" t="str">
        <f t="shared" si="39"/>
        <v>No</v>
      </c>
      <c r="M157">
        <f t="shared" si="31"/>
        <v>0</v>
      </c>
      <c r="N157" t="s">
        <v>0</v>
      </c>
      <c r="O157" t="s">
        <v>72</v>
      </c>
      <c r="P157" t="s">
        <v>254</v>
      </c>
      <c r="Q157" t="s">
        <v>74</v>
      </c>
    </row>
    <row r="158" spans="1:17" x14ac:dyDescent="0.3">
      <c r="A158" t="s">
        <v>255</v>
      </c>
      <c r="B158" t="s">
        <v>322</v>
      </c>
      <c r="C158" t="s">
        <v>263</v>
      </c>
      <c r="D158" t="s">
        <v>324</v>
      </c>
      <c r="E158" s="1" t="s">
        <v>10</v>
      </c>
      <c r="F158" t="str">
        <f t="shared" si="36"/>
        <v>R</v>
      </c>
      <c r="G158">
        <f t="shared" si="29"/>
        <v>0</v>
      </c>
      <c r="H158" t="s">
        <v>10</v>
      </c>
      <c r="I158" t="str">
        <f t="shared" si="37"/>
        <v>R</v>
      </c>
      <c r="J158" t="str">
        <f t="shared" si="38"/>
        <v>Yes</v>
      </c>
      <c r="K158">
        <f t="shared" si="30"/>
        <v>1</v>
      </c>
      <c r="L158" t="str">
        <f t="shared" si="39"/>
        <v>Yes</v>
      </c>
      <c r="M158">
        <f t="shared" si="31"/>
        <v>1</v>
      </c>
      <c r="N158" t="s">
        <v>0</v>
      </c>
      <c r="O158" t="s">
        <v>72</v>
      </c>
      <c r="P158" t="s">
        <v>254</v>
      </c>
      <c r="Q158" t="s">
        <v>74</v>
      </c>
    </row>
    <row r="159" spans="1:17" x14ac:dyDescent="0.3">
      <c r="A159" t="s">
        <v>265</v>
      </c>
      <c r="B159" t="s">
        <v>325</v>
      </c>
      <c r="C159" t="s">
        <v>267</v>
      </c>
      <c r="D159" t="s">
        <v>268</v>
      </c>
      <c r="E159" s="1" t="s">
        <v>59</v>
      </c>
      <c r="F159" t="str">
        <f t="shared" si="36"/>
        <v>CS</v>
      </c>
      <c r="G159">
        <f t="shared" si="29"/>
        <v>1</v>
      </c>
      <c r="H159" t="s">
        <v>10</v>
      </c>
      <c r="I159" t="str">
        <f t="shared" si="37"/>
        <v>R</v>
      </c>
      <c r="J159" t="str">
        <f t="shared" si="38"/>
        <v>No</v>
      </c>
      <c r="K159">
        <f t="shared" si="30"/>
        <v>0</v>
      </c>
      <c r="L159" t="str">
        <f t="shared" si="39"/>
        <v>No</v>
      </c>
      <c r="M159">
        <f t="shared" si="31"/>
        <v>0</v>
      </c>
      <c r="N159" t="s">
        <v>0</v>
      </c>
      <c r="O159" t="s">
        <v>72</v>
      </c>
      <c r="P159" t="s">
        <v>254</v>
      </c>
      <c r="Q159" t="s">
        <v>74</v>
      </c>
    </row>
    <row r="160" spans="1:17" x14ac:dyDescent="0.3">
      <c r="A160" t="s">
        <v>265</v>
      </c>
      <c r="B160" t="s">
        <v>325</v>
      </c>
      <c r="C160" t="s">
        <v>269</v>
      </c>
      <c r="D160" t="s">
        <v>326</v>
      </c>
      <c r="E160" s="1" t="s">
        <v>10</v>
      </c>
      <c r="F160" t="str">
        <f t="shared" si="36"/>
        <v>R</v>
      </c>
      <c r="G160">
        <f t="shared" si="29"/>
        <v>0</v>
      </c>
      <c r="H160" t="s">
        <v>10</v>
      </c>
      <c r="I160" t="str">
        <f t="shared" si="37"/>
        <v>R</v>
      </c>
      <c r="J160" t="str">
        <f t="shared" si="38"/>
        <v>Yes</v>
      </c>
      <c r="K160">
        <f t="shared" si="30"/>
        <v>1</v>
      </c>
      <c r="L160" t="str">
        <f t="shared" si="39"/>
        <v>Yes</v>
      </c>
      <c r="M160">
        <f t="shared" si="31"/>
        <v>1</v>
      </c>
      <c r="N160" t="s">
        <v>0</v>
      </c>
      <c r="O160" t="s">
        <v>72</v>
      </c>
      <c r="P160" t="s">
        <v>254</v>
      </c>
      <c r="Q160" t="s">
        <v>74</v>
      </c>
    </row>
    <row r="161" spans="1:17" x14ac:dyDescent="0.3">
      <c r="A161" t="s">
        <v>265</v>
      </c>
      <c r="B161" t="s">
        <v>325</v>
      </c>
      <c r="C161" t="s">
        <v>271</v>
      </c>
      <c r="D161" t="s">
        <v>272</v>
      </c>
      <c r="E161" s="1" t="s">
        <v>10</v>
      </c>
      <c r="F161" t="str">
        <f t="shared" si="36"/>
        <v>R</v>
      </c>
      <c r="G161">
        <f t="shared" si="29"/>
        <v>0</v>
      </c>
      <c r="H161" t="s">
        <v>59</v>
      </c>
      <c r="I161" t="str">
        <f t="shared" si="37"/>
        <v>CS</v>
      </c>
      <c r="J161" t="str">
        <f t="shared" si="38"/>
        <v>No</v>
      </c>
      <c r="K161">
        <f t="shared" si="30"/>
        <v>0</v>
      </c>
      <c r="L161" t="str">
        <f t="shared" si="39"/>
        <v>No</v>
      </c>
      <c r="M161">
        <f t="shared" si="31"/>
        <v>0</v>
      </c>
      <c r="N161" t="s">
        <v>0</v>
      </c>
      <c r="O161" t="s">
        <v>72</v>
      </c>
      <c r="P161" t="s">
        <v>254</v>
      </c>
      <c r="Q161" t="s">
        <v>74</v>
      </c>
    </row>
    <row r="162" spans="1:17" x14ac:dyDescent="0.3">
      <c r="A162" t="s">
        <v>265</v>
      </c>
      <c r="B162" t="s">
        <v>325</v>
      </c>
      <c r="C162" t="s">
        <v>273</v>
      </c>
      <c r="D162" t="s">
        <v>327</v>
      </c>
      <c r="E162" s="1" t="s">
        <v>10</v>
      </c>
      <c r="F162" t="str">
        <f t="shared" si="36"/>
        <v>R</v>
      </c>
      <c r="G162">
        <f t="shared" si="29"/>
        <v>0</v>
      </c>
      <c r="H162" t="s">
        <v>25</v>
      </c>
      <c r="I162" t="str">
        <f t="shared" si="37"/>
        <v>CS</v>
      </c>
      <c r="J162" t="str">
        <f t="shared" si="38"/>
        <v>No</v>
      </c>
      <c r="K162">
        <f t="shared" si="30"/>
        <v>0</v>
      </c>
      <c r="L162" t="str">
        <f t="shared" si="39"/>
        <v>No</v>
      </c>
      <c r="M162">
        <f t="shared" si="31"/>
        <v>0</v>
      </c>
      <c r="N162" t="s">
        <v>0</v>
      </c>
      <c r="O162" t="s">
        <v>72</v>
      </c>
      <c r="P162" t="s">
        <v>254</v>
      </c>
      <c r="Q162" t="s">
        <v>74</v>
      </c>
    </row>
    <row r="163" spans="1:17" x14ac:dyDescent="0.3">
      <c r="A163" t="s">
        <v>275</v>
      </c>
      <c r="B163" t="s">
        <v>328</v>
      </c>
      <c r="C163" t="s">
        <v>277</v>
      </c>
      <c r="D163" t="s">
        <v>329</v>
      </c>
      <c r="E163" s="1" t="s">
        <v>10</v>
      </c>
      <c r="F163" t="str">
        <f t="shared" si="36"/>
        <v>R</v>
      </c>
      <c r="G163">
        <f t="shared" si="29"/>
        <v>0</v>
      </c>
      <c r="H163" t="s">
        <v>10</v>
      </c>
      <c r="I163" t="str">
        <f t="shared" si="37"/>
        <v>R</v>
      </c>
      <c r="J163" t="str">
        <f t="shared" si="38"/>
        <v>Yes</v>
      </c>
      <c r="K163">
        <f t="shared" si="30"/>
        <v>1</v>
      </c>
      <c r="L163" t="str">
        <f t="shared" si="39"/>
        <v>Yes</v>
      </c>
      <c r="M163">
        <f t="shared" si="31"/>
        <v>1</v>
      </c>
      <c r="N163" t="s">
        <v>0</v>
      </c>
      <c r="O163" t="s">
        <v>72</v>
      </c>
      <c r="P163" t="s">
        <v>254</v>
      </c>
      <c r="Q163" t="s">
        <v>74</v>
      </c>
    </row>
    <row r="164" spans="1:17" x14ac:dyDescent="0.3">
      <c r="A164" t="s">
        <v>275</v>
      </c>
      <c r="B164" t="s">
        <v>328</v>
      </c>
      <c r="C164" t="s">
        <v>279</v>
      </c>
      <c r="E164" s="1" t="s">
        <v>144</v>
      </c>
      <c r="F164" t="str">
        <f t="shared" si="36"/>
        <v>CS</v>
      </c>
      <c r="G164">
        <f t="shared" si="29"/>
        <v>1</v>
      </c>
      <c r="H164" t="s">
        <v>10</v>
      </c>
      <c r="I164" t="str">
        <f t="shared" si="37"/>
        <v>R</v>
      </c>
      <c r="J164" t="str">
        <f t="shared" si="38"/>
        <v>No</v>
      </c>
      <c r="K164">
        <f t="shared" si="30"/>
        <v>0</v>
      </c>
      <c r="L164" t="str">
        <f t="shared" si="39"/>
        <v>No</v>
      </c>
      <c r="M164">
        <f t="shared" si="31"/>
        <v>0</v>
      </c>
      <c r="N164" t="s">
        <v>0</v>
      </c>
      <c r="O164" t="s">
        <v>72</v>
      </c>
      <c r="P164" t="s">
        <v>254</v>
      </c>
      <c r="Q164" t="s">
        <v>74</v>
      </c>
    </row>
    <row r="165" spans="1:17" x14ac:dyDescent="0.3">
      <c r="A165" t="s">
        <v>275</v>
      </c>
      <c r="B165" t="s">
        <v>328</v>
      </c>
      <c r="C165" t="s">
        <v>280</v>
      </c>
      <c r="D165" t="s">
        <v>281</v>
      </c>
      <c r="E165" s="1" t="s">
        <v>10</v>
      </c>
      <c r="F165" t="str">
        <f t="shared" si="36"/>
        <v>R</v>
      </c>
      <c r="G165">
        <f t="shared" si="29"/>
        <v>0</v>
      </c>
      <c r="H165" t="s">
        <v>10</v>
      </c>
      <c r="I165" t="str">
        <f t="shared" si="37"/>
        <v>R</v>
      </c>
      <c r="J165" t="str">
        <f t="shared" si="38"/>
        <v>Yes</v>
      </c>
      <c r="K165">
        <f t="shared" si="30"/>
        <v>1</v>
      </c>
      <c r="L165" t="str">
        <f t="shared" si="39"/>
        <v>Yes</v>
      </c>
      <c r="M165">
        <f t="shared" si="31"/>
        <v>1</v>
      </c>
      <c r="N165" t="s">
        <v>0</v>
      </c>
      <c r="O165" t="s">
        <v>72</v>
      </c>
      <c r="P165" t="s">
        <v>254</v>
      </c>
      <c r="Q165" t="s">
        <v>74</v>
      </c>
    </row>
    <row r="166" spans="1:17" x14ac:dyDescent="0.3">
      <c r="A166" t="s">
        <v>275</v>
      </c>
      <c r="B166" t="s">
        <v>328</v>
      </c>
      <c r="C166" t="s">
        <v>282</v>
      </c>
      <c r="D166" t="s">
        <v>330</v>
      </c>
      <c r="E166" s="1" t="s">
        <v>10</v>
      </c>
      <c r="F166" t="str">
        <f t="shared" si="36"/>
        <v>R</v>
      </c>
      <c r="G166">
        <f t="shared" si="29"/>
        <v>0</v>
      </c>
      <c r="H166" t="s">
        <v>10</v>
      </c>
      <c r="I166" t="str">
        <f t="shared" si="37"/>
        <v>R</v>
      </c>
      <c r="J166" t="str">
        <f t="shared" si="38"/>
        <v>Yes</v>
      </c>
      <c r="K166">
        <f t="shared" si="30"/>
        <v>1</v>
      </c>
      <c r="L166" t="str">
        <f t="shared" si="39"/>
        <v>Yes</v>
      </c>
      <c r="M166">
        <f t="shared" si="31"/>
        <v>1</v>
      </c>
      <c r="N166" t="s">
        <v>0</v>
      </c>
      <c r="O166" t="s">
        <v>72</v>
      </c>
      <c r="P166" t="s">
        <v>254</v>
      </c>
      <c r="Q166" t="s">
        <v>74</v>
      </c>
    </row>
    <row r="167" spans="1:17" x14ac:dyDescent="0.3">
      <c r="A167" t="s">
        <v>284</v>
      </c>
      <c r="B167" t="s">
        <v>331</v>
      </c>
      <c r="C167" t="s">
        <v>286</v>
      </c>
      <c r="D167" t="s">
        <v>332</v>
      </c>
      <c r="E167" s="1" t="s">
        <v>59</v>
      </c>
      <c r="F167" t="str">
        <f t="shared" si="36"/>
        <v>CS</v>
      </c>
      <c r="G167">
        <f t="shared" si="29"/>
        <v>1</v>
      </c>
      <c r="H167" t="s">
        <v>59</v>
      </c>
      <c r="I167" t="str">
        <f t="shared" si="37"/>
        <v>CS</v>
      </c>
      <c r="J167" t="str">
        <f t="shared" si="38"/>
        <v>Yes</v>
      </c>
      <c r="K167">
        <f t="shared" si="30"/>
        <v>1</v>
      </c>
      <c r="L167" t="str">
        <f t="shared" si="39"/>
        <v>Yes</v>
      </c>
      <c r="M167">
        <f t="shared" si="31"/>
        <v>1</v>
      </c>
      <c r="N167" t="s">
        <v>0</v>
      </c>
      <c r="O167" t="s">
        <v>72</v>
      </c>
      <c r="P167" t="s">
        <v>254</v>
      </c>
      <c r="Q167" t="s">
        <v>74</v>
      </c>
    </row>
    <row r="168" spans="1:17" x14ac:dyDescent="0.3">
      <c r="A168" t="s">
        <v>284</v>
      </c>
      <c r="B168" t="s">
        <v>331</v>
      </c>
      <c r="C168" t="s">
        <v>288</v>
      </c>
      <c r="D168" t="s">
        <v>333</v>
      </c>
      <c r="E168" s="1" t="s">
        <v>10</v>
      </c>
      <c r="F168" t="str">
        <f t="shared" si="36"/>
        <v>R</v>
      </c>
      <c r="G168">
        <f t="shared" si="29"/>
        <v>0</v>
      </c>
      <c r="H168" t="s">
        <v>10</v>
      </c>
      <c r="I168" t="str">
        <f t="shared" si="37"/>
        <v>R</v>
      </c>
      <c r="J168" t="str">
        <f t="shared" si="38"/>
        <v>Yes</v>
      </c>
      <c r="K168">
        <f t="shared" si="30"/>
        <v>1</v>
      </c>
      <c r="L168" t="str">
        <f t="shared" si="39"/>
        <v>Yes</v>
      </c>
      <c r="M168">
        <f t="shared" si="31"/>
        <v>1</v>
      </c>
      <c r="N168" t="s">
        <v>0</v>
      </c>
      <c r="O168" t="s">
        <v>72</v>
      </c>
      <c r="P168" t="s">
        <v>254</v>
      </c>
      <c r="Q168" t="s">
        <v>74</v>
      </c>
    </row>
    <row r="169" spans="1:17" x14ac:dyDescent="0.3">
      <c r="A169" t="s">
        <v>290</v>
      </c>
      <c r="B169" t="s">
        <v>334</v>
      </c>
      <c r="C169" t="s">
        <v>292</v>
      </c>
      <c r="D169" t="s">
        <v>335</v>
      </c>
      <c r="E169" s="1" t="s">
        <v>172</v>
      </c>
      <c r="F169" t="str">
        <f t="shared" si="36"/>
        <v>CS</v>
      </c>
      <c r="G169">
        <f t="shared" si="29"/>
        <v>1</v>
      </c>
      <c r="H169" t="s">
        <v>10</v>
      </c>
      <c r="I169" t="str">
        <f t="shared" si="37"/>
        <v>R</v>
      </c>
      <c r="J169" t="str">
        <f t="shared" si="38"/>
        <v>No</v>
      </c>
      <c r="K169">
        <f t="shared" si="30"/>
        <v>0</v>
      </c>
      <c r="L169" t="str">
        <f t="shared" si="39"/>
        <v>No</v>
      </c>
      <c r="M169">
        <f t="shared" si="31"/>
        <v>0</v>
      </c>
      <c r="N169" t="s">
        <v>0</v>
      </c>
      <c r="O169" t="s">
        <v>72</v>
      </c>
      <c r="P169" t="s">
        <v>254</v>
      </c>
      <c r="Q169" t="s">
        <v>74</v>
      </c>
    </row>
    <row r="170" spans="1:17" x14ac:dyDescent="0.3">
      <c r="A170" t="s">
        <v>290</v>
      </c>
      <c r="B170" t="s">
        <v>334</v>
      </c>
      <c r="C170" t="s">
        <v>294</v>
      </c>
      <c r="D170" t="s">
        <v>336</v>
      </c>
      <c r="E170" s="1" t="s">
        <v>10</v>
      </c>
      <c r="F170" t="str">
        <f t="shared" si="36"/>
        <v>R</v>
      </c>
      <c r="G170">
        <f t="shared" si="29"/>
        <v>0</v>
      </c>
      <c r="H170" t="s">
        <v>10</v>
      </c>
      <c r="I170" t="str">
        <f t="shared" si="37"/>
        <v>R</v>
      </c>
      <c r="J170" t="str">
        <f t="shared" si="38"/>
        <v>Yes</v>
      </c>
      <c r="K170">
        <f t="shared" si="30"/>
        <v>1</v>
      </c>
      <c r="L170" t="str">
        <f t="shared" si="39"/>
        <v>Yes</v>
      </c>
      <c r="M170">
        <f t="shared" si="31"/>
        <v>1</v>
      </c>
      <c r="N170" t="s">
        <v>0</v>
      </c>
      <c r="O170" t="s">
        <v>72</v>
      </c>
      <c r="P170" t="s">
        <v>254</v>
      </c>
      <c r="Q170" t="s">
        <v>74</v>
      </c>
    </row>
    <row r="171" spans="1:17" x14ac:dyDescent="0.3">
      <c r="A171" t="s">
        <v>296</v>
      </c>
      <c r="B171" t="s">
        <v>337</v>
      </c>
      <c r="C171" t="s">
        <v>298</v>
      </c>
      <c r="D171" t="s">
        <v>338</v>
      </c>
      <c r="E171" s="1" t="s">
        <v>10</v>
      </c>
      <c r="F171" t="str">
        <f t="shared" si="36"/>
        <v>R</v>
      </c>
      <c r="G171">
        <f t="shared" si="29"/>
        <v>0</v>
      </c>
      <c r="H171" t="s">
        <v>10</v>
      </c>
      <c r="I171" t="str">
        <f t="shared" si="37"/>
        <v>R</v>
      </c>
      <c r="J171" t="str">
        <f t="shared" si="38"/>
        <v>Yes</v>
      </c>
      <c r="K171">
        <f t="shared" si="30"/>
        <v>1</v>
      </c>
      <c r="L171" t="str">
        <f t="shared" si="39"/>
        <v>Yes</v>
      </c>
      <c r="M171">
        <f t="shared" si="31"/>
        <v>1</v>
      </c>
      <c r="N171" t="s">
        <v>0</v>
      </c>
      <c r="O171" t="s">
        <v>72</v>
      </c>
      <c r="P171" t="s">
        <v>254</v>
      </c>
      <c r="Q171" t="s">
        <v>74</v>
      </c>
    </row>
    <row r="172" spans="1:17" x14ac:dyDescent="0.3">
      <c r="A172" t="s">
        <v>296</v>
      </c>
      <c r="B172" t="s">
        <v>337</v>
      </c>
      <c r="C172" t="s">
        <v>300</v>
      </c>
      <c r="D172" t="s">
        <v>339</v>
      </c>
      <c r="E172" s="1" t="s">
        <v>10</v>
      </c>
      <c r="F172" t="str">
        <f t="shared" si="36"/>
        <v>R</v>
      </c>
      <c r="G172">
        <f t="shared" si="29"/>
        <v>0</v>
      </c>
      <c r="H172" t="s">
        <v>10</v>
      </c>
      <c r="I172" t="str">
        <f t="shared" si="37"/>
        <v>R</v>
      </c>
      <c r="J172" t="str">
        <f t="shared" si="38"/>
        <v>Yes</v>
      </c>
      <c r="K172">
        <f t="shared" si="30"/>
        <v>1</v>
      </c>
      <c r="L172" t="str">
        <f t="shared" si="39"/>
        <v>Yes</v>
      </c>
      <c r="M172">
        <f t="shared" si="31"/>
        <v>1</v>
      </c>
      <c r="N172" t="s">
        <v>0</v>
      </c>
      <c r="O172" t="s">
        <v>72</v>
      </c>
      <c r="P172" t="s">
        <v>254</v>
      </c>
      <c r="Q172" t="s">
        <v>74</v>
      </c>
    </row>
    <row r="173" spans="1:17" x14ac:dyDescent="0.3">
      <c r="A173" t="s">
        <v>302</v>
      </c>
      <c r="B173" t="s">
        <v>340</v>
      </c>
      <c r="C173" t="s">
        <v>304</v>
      </c>
      <c r="D173" t="s">
        <v>341</v>
      </c>
      <c r="E173" s="1" t="s">
        <v>59</v>
      </c>
      <c r="F173" t="str">
        <f t="shared" si="36"/>
        <v>CS</v>
      </c>
      <c r="G173">
        <f t="shared" si="29"/>
        <v>1</v>
      </c>
      <c r="H173" t="s">
        <v>25</v>
      </c>
      <c r="I173" t="str">
        <f t="shared" si="37"/>
        <v>CS</v>
      </c>
      <c r="J173" t="str">
        <f t="shared" si="38"/>
        <v>Yes</v>
      </c>
      <c r="K173">
        <f t="shared" si="30"/>
        <v>1</v>
      </c>
      <c r="L173" t="str">
        <f t="shared" si="39"/>
        <v>No</v>
      </c>
      <c r="M173">
        <f t="shared" si="31"/>
        <v>0</v>
      </c>
      <c r="N173" t="s">
        <v>0</v>
      </c>
      <c r="O173" t="s">
        <v>72</v>
      </c>
      <c r="P173" t="s">
        <v>254</v>
      </c>
      <c r="Q173" t="s">
        <v>74</v>
      </c>
    </row>
    <row r="174" spans="1:17" x14ac:dyDescent="0.3">
      <c r="A174" t="s">
        <v>302</v>
      </c>
      <c r="B174" t="s">
        <v>340</v>
      </c>
      <c r="C174" t="s">
        <v>306</v>
      </c>
      <c r="D174" t="s">
        <v>342</v>
      </c>
      <c r="E174" s="1" t="s">
        <v>10</v>
      </c>
      <c r="F174" t="str">
        <f t="shared" si="36"/>
        <v>R</v>
      </c>
      <c r="G174">
        <f t="shared" si="29"/>
        <v>0</v>
      </c>
      <c r="H174" t="s">
        <v>25</v>
      </c>
      <c r="I174" t="str">
        <f t="shared" si="37"/>
        <v>CS</v>
      </c>
      <c r="J174" t="str">
        <f t="shared" si="38"/>
        <v>No</v>
      </c>
      <c r="K174">
        <f t="shared" si="30"/>
        <v>0</v>
      </c>
      <c r="L174" t="str">
        <f t="shared" si="39"/>
        <v>No</v>
      </c>
      <c r="M174">
        <f t="shared" si="31"/>
        <v>0</v>
      </c>
      <c r="N174" t="s">
        <v>0</v>
      </c>
      <c r="O174" t="s">
        <v>72</v>
      </c>
      <c r="P174" t="s">
        <v>254</v>
      </c>
      <c r="Q174" t="s">
        <v>74</v>
      </c>
    </row>
    <row r="175" spans="1:17" x14ac:dyDescent="0.3">
      <c r="A175" t="s">
        <v>308</v>
      </c>
      <c r="B175" t="s">
        <v>343</v>
      </c>
      <c r="C175" t="s">
        <v>310</v>
      </c>
      <c r="D175" t="s">
        <v>344</v>
      </c>
      <c r="E175" s="1" t="s">
        <v>10</v>
      </c>
      <c r="F175" t="str">
        <f t="shared" si="36"/>
        <v>R</v>
      </c>
      <c r="G175">
        <f t="shared" si="29"/>
        <v>0</v>
      </c>
      <c r="H175" t="s">
        <v>10</v>
      </c>
      <c r="I175" t="str">
        <f t="shared" si="37"/>
        <v>R</v>
      </c>
      <c r="J175" t="str">
        <f t="shared" si="38"/>
        <v>Yes</v>
      </c>
      <c r="K175">
        <f t="shared" si="30"/>
        <v>1</v>
      </c>
      <c r="L175" t="str">
        <f t="shared" si="39"/>
        <v>Yes</v>
      </c>
      <c r="M175">
        <f t="shared" si="31"/>
        <v>1</v>
      </c>
      <c r="N175" t="s">
        <v>0</v>
      </c>
      <c r="O175" t="s">
        <v>72</v>
      </c>
      <c r="P175" t="s">
        <v>254</v>
      </c>
      <c r="Q175" t="s">
        <v>74</v>
      </c>
    </row>
    <row r="176" spans="1:17" x14ac:dyDescent="0.3">
      <c r="A176" t="s">
        <v>308</v>
      </c>
      <c r="B176" t="s">
        <v>343</v>
      </c>
      <c r="C176" t="s">
        <v>312</v>
      </c>
      <c r="D176" t="s">
        <v>345</v>
      </c>
      <c r="E176" s="1" t="s">
        <v>172</v>
      </c>
      <c r="F176" t="str">
        <f t="shared" si="36"/>
        <v>CS</v>
      </c>
      <c r="G176">
        <f t="shared" si="29"/>
        <v>1</v>
      </c>
      <c r="H176" t="s">
        <v>59</v>
      </c>
      <c r="I176" t="str">
        <f t="shared" si="37"/>
        <v>CS</v>
      </c>
      <c r="J176" t="str">
        <f t="shared" si="38"/>
        <v>Yes</v>
      </c>
      <c r="K176">
        <f t="shared" si="30"/>
        <v>1</v>
      </c>
      <c r="L176" t="str">
        <f t="shared" si="39"/>
        <v>No</v>
      </c>
      <c r="M176">
        <f t="shared" si="31"/>
        <v>0</v>
      </c>
      <c r="N176" t="s">
        <v>0</v>
      </c>
      <c r="O176" t="s">
        <v>72</v>
      </c>
      <c r="P176" t="s">
        <v>254</v>
      </c>
      <c r="Q176" t="s">
        <v>74</v>
      </c>
    </row>
    <row r="177" spans="1:17" x14ac:dyDescent="0.3">
      <c r="A177" t="s">
        <v>314</v>
      </c>
      <c r="B177" t="s">
        <v>346</v>
      </c>
      <c r="C177" t="s">
        <v>316</v>
      </c>
      <c r="D177" t="s">
        <v>347</v>
      </c>
      <c r="E177" s="1" t="s">
        <v>10</v>
      </c>
      <c r="F177" t="str">
        <f t="shared" si="36"/>
        <v>R</v>
      </c>
      <c r="G177">
        <f t="shared" si="29"/>
        <v>0</v>
      </c>
      <c r="H177" t="s">
        <v>10</v>
      </c>
      <c r="I177" t="str">
        <f t="shared" si="37"/>
        <v>R</v>
      </c>
      <c r="J177" t="str">
        <f t="shared" si="38"/>
        <v>Yes</v>
      </c>
      <c r="K177">
        <f t="shared" si="30"/>
        <v>1</v>
      </c>
      <c r="L177" t="str">
        <f t="shared" si="39"/>
        <v>Yes</v>
      </c>
      <c r="M177">
        <f t="shared" si="31"/>
        <v>1</v>
      </c>
      <c r="N177" t="s">
        <v>0</v>
      </c>
      <c r="O177" t="s">
        <v>72</v>
      </c>
      <c r="P177" t="s">
        <v>254</v>
      </c>
      <c r="Q177" t="s">
        <v>74</v>
      </c>
    </row>
    <row r="178" spans="1:17" x14ac:dyDescent="0.3">
      <c r="A178" t="s">
        <v>318</v>
      </c>
      <c r="B178" t="s">
        <v>348</v>
      </c>
      <c r="C178" t="s">
        <v>320</v>
      </c>
      <c r="D178" t="s">
        <v>349</v>
      </c>
      <c r="E178" s="1" t="s">
        <v>59</v>
      </c>
      <c r="F178" t="str">
        <f t="shared" si="36"/>
        <v>CS</v>
      </c>
      <c r="G178">
        <f t="shared" si="29"/>
        <v>1</v>
      </c>
      <c r="H178" t="s">
        <v>172</v>
      </c>
      <c r="I178" t="str">
        <f t="shared" si="37"/>
        <v>CS</v>
      </c>
      <c r="J178" t="str">
        <f t="shared" si="38"/>
        <v>Yes</v>
      </c>
      <c r="K178">
        <f t="shared" si="30"/>
        <v>1</v>
      </c>
      <c r="L178" t="str">
        <f t="shared" si="39"/>
        <v>No</v>
      </c>
      <c r="M178">
        <f t="shared" si="31"/>
        <v>0</v>
      </c>
      <c r="N178" t="s">
        <v>0</v>
      </c>
      <c r="O178" t="s">
        <v>72</v>
      </c>
      <c r="P178" t="s">
        <v>254</v>
      </c>
      <c r="Q178" t="s">
        <v>74</v>
      </c>
    </row>
    <row r="179" spans="1:17" x14ac:dyDescent="0.3">
      <c r="A179" t="s">
        <v>255</v>
      </c>
      <c r="B179" t="s">
        <v>350</v>
      </c>
      <c r="C179" t="s">
        <v>257</v>
      </c>
      <c r="D179" t="s">
        <v>351</v>
      </c>
      <c r="E179" t="s">
        <v>10</v>
      </c>
      <c r="F179" t="str">
        <f>IF(E179="R", "R", "CS")</f>
        <v>R</v>
      </c>
      <c r="G179">
        <f t="shared" si="29"/>
        <v>0</v>
      </c>
      <c r="H179" t="s">
        <v>25</v>
      </c>
      <c r="I179" t="str">
        <f>IF(H179="R", "R", "CS")</f>
        <v>CS</v>
      </c>
      <c r="J179" t="str">
        <f>IF(F179=I179, "Yes", "No")</f>
        <v>No</v>
      </c>
      <c r="K179">
        <f t="shared" si="30"/>
        <v>0</v>
      </c>
      <c r="L179" t="str">
        <f>IF(E179=H179, "Yes", "No")</f>
        <v>No</v>
      </c>
      <c r="M179">
        <f t="shared" si="31"/>
        <v>0</v>
      </c>
      <c r="N179" t="s">
        <v>0</v>
      </c>
      <c r="O179" t="s">
        <v>72</v>
      </c>
      <c r="P179" t="s">
        <v>254</v>
      </c>
      <c r="Q179" t="s">
        <v>95</v>
      </c>
    </row>
    <row r="180" spans="1:17" x14ac:dyDescent="0.3">
      <c r="A180" t="s">
        <v>255</v>
      </c>
      <c r="B180" t="s">
        <v>350</v>
      </c>
      <c r="C180" t="s">
        <v>259</v>
      </c>
      <c r="D180" t="s">
        <v>352</v>
      </c>
      <c r="E180" t="s">
        <v>10</v>
      </c>
      <c r="F180" t="str">
        <f t="shared" ref="F180:F202" si="40">IF(E180="R", "R", "CS")</f>
        <v>R</v>
      </c>
      <c r="G180">
        <f t="shared" si="29"/>
        <v>0</v>
      </c>
      <c r="H180" t="s">
        <v>10</v>
      </c>
      <c r="I180" t="str">
        <f t="shared" ref="I180:I202" si="41">IF(H180="R", "R", "CS")</f>
        <v>R</v>
      </c>
      <c r="J180" t="str">
        <f t="shared" ref="J180:J202" si="42">IF(F180=I180, "Yes", "No")</f>
        <v>Yes</v>
      </c>
      <c r="K180">
        <f t="shared" si="30"/>
        <v>1</v>
      </c>
      <c r="L180" t="str">
        <f t="shared" ref="L180:L202" si="43">IF(E180=H180, "Yes", "No")</f>
        <v>Yes</v>
      </c>
      <c r="M180">
        <f t="shared" si="31"/>
        <v>1</v>
      </c>
      <c r="N180" t="s">
        <v>0</v>
      </c>
      <c r="O180" t="s">
        <v>72</v>
      </c>
      <c r="P180" t="s">
        <v>254</v>
      </c>
      <c r="Q180" t="s">
        <v>95</v>
      </c>
    </row>
    <row r="181" spans="1:17" x14ac:dyDescent="0.3">
      <c r="A181" t="s">
        <v>255</v>
      </c>
      <c r="B181" t="s">
        <v>350</v>
      </c>
      <c r="C181" t="s">
        <v>261</v>
      </c>
      <c r="D181" t="s">
        <v>353</v>
      </c>
      <c r="E181" t="s">
        <v>59</v>
      </c>
      <c r="F181" t="str">
        <f t="shared" si="40"/>
        <v>CS</v>
      </c>
      <c r="G181">
        <f t="shared" si="29"/>
        <v>1</v>
      </c>
      <c r="H181" t="s">
        <v>172</v>
      </c>
      <c r="I181" t="str">
        <f t="shared" si="41"/>
        <v>CS</v>
      </c>
      <c r="J181" t="str">
        <f t="shared" si="42"/>
        <v>Yes</v>
      </c>
      <c r="K181">
        <f t="shared" si="30"/>
        <v>1</v>
      </c>
      <c r="L181" t="str">
        <f t="shared" si="43"/>
        <v>No</v>
      </c>
      <c r="M181">
        <f t="shared" si="31"/>
        <v>0</v>
      </c>
      <c r="N181" t="s">
        <v>0</v>
      </c>
      <c r="O181" t="s">
        <v>72</v>
      </c>
      <c r="P181" t="s">
        <v>254</v>
      </c>
      <c r="Q181" t="s">
        <v>95</v>
      </c>
    </row>
    <row r="182" spans="1:17" x14ac:dyDescent="0.3">
      <c r="A182" t="s">
        <v>255</v>
      </c>
      <c r="B182" t="s">
        <v>350</v>
      </c>
      <c r="C182" t="s">
        <v>263</v>
      </c>
      <c r="D182" t="s">
        <v>354</v>
      </c>
      <c r="E182" t="s">
        <v>59</v>
      </c>
      <c r="F182" t="str">
        <f t="shared" si="40"/>
        <v>CS</v>
      </c>
      <c r="G182">
        <f t="shared" si="29"/>
        <v>1</v>
      </c>
      <c r="H182" t="s">
        <v>59</v>
      </c>
      <c r="I182" t="str">
        <f t="shared" si="41"/>
        <v>CS</v>
      </c>
      <c r="J182" t="str">
        <f t="shared" si="42"/>
        <v>Yes</v>
      </c>
      <c r="K182">
        <f t="shared" si="30"/>
        <v>1</v>
      </c>
      <c r="L182" t="str">
        <f t="shared" si="43"/>
        <v>Yes</v>
      </c>
      <c r="M182">
        <f t="shared" si="31"/>
        <v>1</v>
      </c>
      <c r="N182" t="s">
        <v>0</v>
      </c>
      <c r="O182" t="s">
        <v>72</v>
      </c>
      <c r="P182" t="s">
        <v>254</v>
      </c>
      <c r="Q182" t="s">
        <v>95</v>
      </c>
    </row>
    <row r="183" spans="1:17" x14ac:dyDescent="0.3">
      <c r="A183" t="s">
        <v>265</v>
      </c>
      <c r="B183" t="s">
        <v>355</v>
      </c>
      <c r="C183" t="s">
        <v>267</v>
      </c>
      <c r="D183" t="s">
        <v>356</v>
      </c>
      <c r="E183" t="s">
        <v>59</v>
      </c>
      <c r="F183" t="str">
        <f t="shared" si="40"/>
        <v>CS</v>
      </c>
      <c r="G183">
        <f t="shared" si="29"/>
        <v>1</v>
      </c>
      <c r="H183" t="s">
        <v>10</v>
      </c>
      <c r="I183" t="str">
        <f t="shared" si="41"/>
        <v>R</v>
      </c>
      <c r="J183" t="str">
        <f t="shared" si="42"/>
        <v>No</v>
      </c>
      <c r="K183">
        <f t="shared" si="30"/>
        <v>0</v>
      </c>
      <c r="L183" t="str">
        <f t="shared" si="43"/>
        <v>No</v>
      </c>
      <c r="M183">
        <f t="shared" si="31"/>
        <v>0</v>
      </c>
      <c r="N183" t="s">
        <v>0</v>
      </c>
      <c r="O183" t="s">
        <v>72</v>
      </c>
      <c r="P183" t="s">
        <v>254</v>
      </c>
      <c r="Q183" t="s">
        <v>95</v>
      </c>
    </row>
    <row r="184" spans="1:17" x14ac:dyDescent="0.3">
      <c r="A184" t="s">
        <v>265</v>
      </c>
      <c r="B184" t="s">
        <v>355</v>
      </c>
      <c r="C184" t="s">
        <v>269</v>
      </c>
      <c r="D184" t="s">
        <v>357</v>
      </c>
      <c r="E184" t="s">
        <v>59</v>
      </c>
      <c r="F184" t="str">
        <f t="shared" si="40"/>
        <v>CS</v>
      </c>
      <c r="G184">
        <f t="shared" si="29"/>
        <v>1</v>
      </c>
      <c r="H184" t="s">
        <v>59</v>
      </c>
      <c r="I184" t="str">
        <f t="shared" si="41"/>
        <v>CS</v>
      </c>
      <c r="J184" t="str">
        <f t="shared" si="42"/>
        <v>Yes</v>
      </c>
      <c r="K184">
        <f t="shared" si="30"/>
        <v>1</v>
      </c>
      <c r="L184" t="str">
        <f t="shared" si="43"/>
        <v>Yes</v>
      </c>
      <c r="M184">
        <f t="shared" si="31"/>
        <v>1</v>
      </c>
      <c r="N184" t="s">
        <v>0</v>
      </c>
      <c r="O184" t="s">
        <v>72</v>
      </c>
      <c r="P184" t="s">
        <v>254</v>
      </c>
      <c r="Q184" t="s">
        <v>95</v>
      </c>
    </row>
    <row r="185" spans="1:17" x14ac:dyDescent="0.3">
      <c r="A185" t="s">
        <v>265</v>
      </c>
      <c r="B185" t="s">
        <v>355</v>
      </c>
      <c r="C185" t="s">
        <v>271</v>
      </c>
      <c r="D185" t="s">
        <v>358</v>
      </c>
      <c r="E185" t="s">
        <v>44</v>
      </c>
      <c r="F185" t="str">
        <f t="shared" si="40"/>
        <v>CS</v>
      </c>
      <c r="G185">
        <f t="shared" si="29"/>
        <v>1</v>
      </c>
      <c r="H185" t="s">
        <v>59</v>
      </c>
      <c r="I185" t="str">
        <f t="shared" si="41"/>
        <v>CS</v>
      </c>
      <c r="J185" t="str">
        <f t="shared" si="42"/>
        <v>Yes</v>
      </c>
      <c r="K185">
        <f t="shared" si="30"/>
        <v>1</v>
      </c>
      <c r="L185" t="str">
        <f t="shared" si="43"/>
        <v>No</v>
      </c>
      <c r="M185">
        <f t="shared" si="31"/>
        <v>0</v>
      </c>
      <c r="N185" t="s">
        <v>0</v>
      </c>
      <c r="O185" t="s">
        <v>72</v>
      </c>
      <c r="P185" t="s">
        <v>254</v>
      </c>
      <c r="Q185" t="s">
        <v>95</v>
      </c>
    </row>
    <row r="186" spans="1:17" x14ac:dyDescent="0.3">
      <c r="A186" t="s">
        <v>265</v>
      </c>
      <c r="B186" t="s">
        <v>355</v>
      </c>
      <c r="C186" t="s">
        <v>273</v>
      </c>
      <c r="E186" t="s">
        <v>144</v>
      </c>
      <c r="F186" t="s">
        <v>144</v>
      </c>
      <c r="G186">
        <v>2</v>
      </c>
      <c r="H186" t="s">
        <v>59</v>
      </c>
      <c r="I186" t="str">
        <f t="shared" si="41"/>
        <v>CS</v>
      </c>
      <c r="J186" t="str">
        <f t="shared" si="42"/>
        <v>No</v>
      </c>
      <c r="K186">
        <f t="shared" si="30"/>
        <v>0</v>
      </c>
      <c r="L186" t="str">
        <f t="shared" si="43"/>
        <v>No</v>
      </c>
      <c r="M186">
        <f t="shared" si="31"/>
        <v>0</v>
      </c>
      <c r="N186" t="s">
        <v>0</v>
      </c>
      <c r="O186" t="s">
        <v>72</v>
      </c>
      <c r="P186" t="s">
        <v>254</v>
      </c>
      <c r="Q186" t="s">
        <v>95</v>
      </c>
    </row>
    <row r="187" spans="1:17" x14ac:dyDescent="0.3">
      <c r="A187" t="s">
        <v>275</v>
      </c>
      <c r="B187" t="s">
        <v>359</v>
      </c>
      <c r="C187" t="s">
        <v>277</v>
      </c>
      <c r="D187" t="s">
        <v>360</v>
      </c>
      <c r="E187" t="s">
        <v>10</v>
      </c>
      <c r="F187" t="str">
        <f t="shared" si="40"/>
        <v>R</v>
      </c>
      <c r="G187">
        <f t="shared" si="29"/>
        <v>0</v>
      </c>
      <c r="H187" t="s">
        <v>10</v>
      </c>
      <c r="I187" t="str">
        <f t="shared" si="41"/>
        <v>R</v>
      </c>
      <c r="J187" t="str">
        <f t="shared" si="42"/>
        <v>Yes</v>
      </c>
      <c r="K187">
        <f t="shared" si="30"/>
        <v>1</v>
      </c>
      <c r="L187" t="str">
        <f t="shared" si="43"/>
        <v>Yes</v>
      </c>
      <c r="M187">
        <f t="shared" si="31"/>
        <v>1</v>
      </c>
      <c r="N187" t="s">
        <v>0</v>
      </c>
      <c r="O187" t="s">
        <v>72</v>
      </c>
      <c r="P187" t="s">
        <v>254</v>
      </c>
      <c r="Q187" t="s">
        <v>95</v>
      </c>
    </row>
    <row r="188" spans="1:17" x14ac:dyDescent="0.3">
      <c r="A188" t="s">
        <v>275</v>
      </c>
      <c r="B188" t="s">
        <v>359</v>
      </c>
      <c r="C188" t="s">
        <v>279</v>
      </c>
      <c r="D188" t="s">
        <v>361</v>
      </c>
      <c r="E188" t="s">
        <v>10</v>
      </c>
      <c r="F188" t="str">
        <f t="shared" si="40"/>
        <v>R</v>
      </c>
      <c r="G188">
        <f t="shared" si="29"/>
        <v>0</v>
      </c>
      <c r="H188" t="s">
        <v>10</v>
      </c>
      <c r="I188" t="str">
        <f t="shared" si="41"/>
        <v>R</v>
      </c>
      <c r="J188" t="str">
        <f t="shared" si="42"/>
        <v>Yes</v>
      </c>
      <c r="K188">
        <f t="shared" si="30"/>
        <v>1</v>
      </c>
      <c r="L188" t="str">
        <f t="shared" si="43"/>
        <v>Yes</v>
      </c>
      <c r="M188">
        <f t="shared" si="31"/>
        <v>1</v>
      </c>
      <c r="N188" t="s">
        <v>0</v>
      </c>
      <c r="O188" t="s">
        <v>72</v>
      </c>
      <c r="P188" t="s">
        <v>254</v>
      </c>
      <c r="Q188" t="s">
        <v>95</v>
      </c>
    </row>
    <row r="189" spans="1:17" x14ac:dyDescent="0.3">
      <c r="A189" t="s">
        <v>275</v>
      </c>
      <c r="B189" t="s">
        <v>359</v>
      </c>
      <c r="C189" t="s">
        <v>280</v>
      </c>
      <c r="D189" t="s">
        <v>362</v>
      </c>
      <c r="E189" t="s">
        <v>10</v>
      </c>
      <c r="F189" t="str">
        <f t="shared" si="40"/>
        <v>R</v>
      </c>
      <c r="G189">
        <f t="shared" si="29"/>
        <v>0</v>
      </c>
      <c r="H189" t="s">
        <v>10</v>
      </c>
      <c r="I189" t="str">
        <f t="shared" si="41"/>
        <v>R</v>
      </c>
      <c r="J189" t="str">
        <f t="shared" si="42"/>
        <v>Yes</v>
      </c>
      <c r="K189">
        <f t="shared" si="30"/>
        <v>1</v>
      </c>
      <c r="L189" t="str">
        <f t="shared" si="43"/>
        <v>Yes</v>
      </c>
      <c r="M189">
        <f t="shared" si="31"/>
        <v>1</v>
      </c>
      <c r="N189" t="s">
        <v>0</v>
      </c>
      <c r="O189" t="s">
        <v>72</v>
      </c>
      <c r="P189" t="s">
        <v>254</v>
      </c>
      <c r="Q189" t="s">
        <v>95</v>
      </c>
    </row>
    <row r="190" spans="1:17" x14ac:dyDescent="0.3">
      <c r="A190" t="s">
        <v>275</v>
      </c>
      <c r="B190" t="s">
        <v>359</v>
      </c>
      <c r="C190" t="s">
        <v>282</v>
      </c>
      <c r="D190" t="s">
        <v>363</v>
      </c>
      <c r="E190" t="s">
        <v>172</v>
      </c>
      <c r="F190" t="str">
        <f t="shared" si="40"/>
        <v>CS</v>
      </c>
      <c r="G190">
        <f t="shared" si="29"/>
        <v>1</v>
      </c>
      <c r="H190" t="s">
        <v>10</v>
      </c>
      <c r="I190" t="str">
        <f t="shared" si="41"/>
        <v>R</v>
      </c>
      <c r="J190" t="str">
        <f t="shared" si="42"/>
        <v>No</v>
      </c>
      <c r="K190">
        <f t="shared" si="30"/>
        <v>0</v>
      </c>
      <c r="L190" t="str">
        <f t="shared" si="43"/>
        <v>No</v>
      </c>
      <c r="M190">
        <f t="shared" si="31"/>
        <v>0</v>
      </c>
      <c r="N190" t="s">
        <v>0</v>
      </c>
      <c r="O190" t="s">
        <v>72</v>
      </c>
      <c r="P190" t="s">
        <v>254</v>
      </c>
      <c r="Q190" t="s">
        <v>95</v>
      </c>
    </row>
    <row r="191" spans="1:17" x14ac:dyDescent="0.3">
      <c r="A191" t="s">
        <v>284</v>
      </c>
      <c r="B191" t="s">
        <v>364</v>
      </c>
      <c r="C191" t="s">
        <v>286</v>
      </c>
      <c r="D191" t="s">
        <v>365</v>
      </c>
      <c r="E191" t="s">
        <v>59</v>
      </c>
      <c r="F191" t="str">
        <f t="shared" si="40"/>
        <v>CS</v>
      </c>
      <c r="G191">
        <f t="shared" si="29"/>
        <v>1</v>
      </c>
      <c r="H191" t="s">
        <v>59</v>
      </c>
      <c r="I191" t="str">
        <f t="shared" si="41"/>
        <v>CS</v>
      </c>
      <c r="J191" t="str">
        <f t="shared" si="42"/>
        <v>Yes</v>
      </c>
      <c r="K191">
        <f t="shared" si="30"/>
        <v>1</v>
      </c>
      <c r="L191" t="str">
        <f t="shared" si="43"/>
        <v>Yes</v>
      </c>
      <c r="M191">
        <f t="shared" si="31"/>
        <v>1</v>
      </c>
      <c r="N191" t="s">
        <v>0</v>
      </c>
      <c r="O191" t="s">
        <v>72</v>
      </c>
      <c r="P191" t="s">
        <v>254</v>
      </c>
      <c r="Q191" t="s">
        <v>95</v>
      </c>
    </row>
    <row r="192" spans="1:17" x14ac:dyDescent="0.3">
      <c r="A192" t="s">
        <v>284</v>
      </c>
      <c r="B192" t="s">
        <v>364</v>
      </c>
      <c r="C192" t="s">
        <v>288</v>
      </c>
      <c r="D192" t="s">
        <v>366</v>
      </c>
      <c r="E192" t="s">
        <v>10</v>
      </c>
      <c r="F192" t="str">
        <f t="shared" si="40"/>
        <v>R</v>
      </c>
      <c r="G192">
        <f t="shared" si="29"/>
        <v>0</v>
      </c>
      <c r="H192" t="s">
        <v>10</v>
      </c>
      <c r="I192" t="str">
        <f t="shared" si="41"/>
        <v>R</v>
      </c>
      <c r="J192" t="str">
        <f t="shared" si="42"/>
        <v>Yes</v>
      </c>
      <c r="K192">
        <f t="shared" si="30"/>
        <v>1</v>
      </c>
      <c r="L192" t="str">
        <f t="shared" si="43"/>
        <v>Yes</v>
      </c>
      <c r="M192">
        <f t="shared" si="31"/>
        <v>1</v>
      </c>
      <c r="N192" t="s">
        <v>0</v>
      </c>
      <c r="O192" t="s">
        <v>72</v>
      </c>
      <c r="P192" t="s">
        <v>254</v>
      </c>
      <c r="Q192" t="s">
        <v>95</v>
      </c>
    </row>
    <row r="193" spans="1:17" x14ac:dyDescent="0.3">
      <c r="A193" t="s">
        <v>290</v>
      </c>
      <c r="B193" t="s">
        <v>367</v>
      </c>
      <c r="C193" t="s">
        <v>292</v>
      </c>
      <c r="D193" t="s">
        <v>368</v>
      </c>
      <c r="E193" t="s">
        <v>10</v>
      </c>
      <c r="F193" t="str">
        <f t="shared" si="40"/>
        <v>R</v>
      </c>
      <c r="G193">
        <f t="shared" si="29"/>
        <v>0</v>
      </c>
      <c r="H193" t="s">
        <v>59</v>
      </c>
      <c r="I193" t="str">
        <f t="shared" si="41"/>
        <v>CS</v>
      </c>
      <c r="J193" t="str">
        <f t="shared" si="42"/>
        <v>No</v>
      </c>
      <c r="K193">
        <f t="shared" si="30"/>
        <v>0</v>
      </c>
      <c r="L193" t="str">
        <f t="shared" si="43"/>
        <v>No</v>
      </c>
      <c r="M193">
        <f t="shared" si="31"/>
        <v>0</v>
      </c>
      <c r="N193" t="s">
        <v>0</v>
      </c>
      <c r="O193" t="s">
        <v>72</v>
      </c>
      <c r="P193" t="s">
        <v>254</v>
      </c>
      <c r="Q193" t="s">
        <v>95</v>
      </c>
    </row>
    <row r="194" spans="1:17" x14ac:dyDescent="0.3">
      <c r="A194" t="s">
        <v>290</v>
      </c>
      <c r="B194" t="s">
        <v>367</v>
      </c>
      <c r="C194" t="s">
        <v>294</v>
      </c>
      <c r="D194" t="s">
        <v>369</v>
      </c>
      <c r="E194" t="s">
        <v>10</v>
      </c>
      <c r="F194" t="str">
        <f t="shared" si="40"/>
        <v>R</v>
      </c>
      <c r="G194">
        <f t="shared" si="29"/>
        <v>0</v>
      </c>
      <c r="H194" t="s">
        <v>59</v>
      </c>
      <c r="I194" t="str">
        <f t="shared" si="41"/>
        <v>CS</v>
      </c>
      <c r="J194" t="str">
        <f t="shared" si="42"/>
        <v>No</v>
      </c>
      <c r="K194">
        <f t="shared" si="30"/>
        <v>0</v>
      </c>
      <c r="L194" t="str">
        <f t="shared" si="43"/>
        <v>No</v>
      </c>
      <c r="M194">
        <f t="shared" si="31"/>
        <v>0</v>
      </c>
      <c r="N194" t="s">
        <v>0</v>
      </c>
      <c r="O194" t="s">
        <v>72</v>
      </c>
      <c r="P194" t="s">
        <v>254</v>
      </c>
      <c r="Q194" t="s">
        <v>95</v>
      </c>
    </row>
    <row r="195" spans="1:17" x14ac:dyDescent="0.3">
      <c r="A195" t="s">
        <v>296</v>
      </c>
      <c r="B195" t="s">
        <v>370</v>
      </c>
      <c r="C195" t="s">
        <v>298</v>
      </c>
      <c r="D195" t="s">
        <v>371</v>
      </c>
      <c r="E195" t="s">
        <v>59</v>
      </c>
      <c r="F195" t="str">
        <f t="shared" si="40"/>
        <v>CS</v>
      </c>
      <c r="G195">
        <f t="shared" ref="G195:G258" si="44">IF(F195="R",0,(IF(F195="CS",1,"HELP")))</f>
        <v>1</v>
      </c>
      <c r="H195" t="s">
        <v>59</v>
      </c>
      <c r="I195" t="str">
        <f t="shared" si="41"/>
        <v>CS</v>
      </c>
      <c r="J195" t="str">
        <f t="shared" si="42"/>
        <v>Yes</v>
      </c>
      <c r="K195">
        <f t="shared" ref="K195:K258" si="45">IF(J195="Yes", 1, 0)</f>
        <v>1</v>
      </c>
      <c r="L195" t="str">
        <f t="shared" si="43"/>
        <v>Yes</v>
      </c>
      <c r="M195">
        <f t="shared" ref="M195:M258" si="46">IF(L195="Yes", 1, 0)</f>
        <v>1</v>
      </c>
      <c r="N195" t="s">
        <v>0</v>
      </c>
      <c r="O195" t="s">
        <v>72</v>
      </c>
      <c r="P195" t="s">
        <v>254</v>
      </c>
      <c r="Q195" t="s">
        <v>95</v>
      </c>
    </row>
    <row r="196" spans="1:17" x14ac:dyDescent="0.3">
      <c r="A196" t="s">
        <v>296</v>
      </c>
      <c r="B196" t="s">
        <v>370</v>
      </c>
      <c r="C196" t="s">
        <v>300</v>
      </c>
      <c r="D196" t="s">
        <v>339</v>
      </c>
      <c r="E196" t="s">
        <v>10</v>
      </c>
      <c r="F196" t="str">
        <f t="shared" si="40"/>
        <v>R</v>
      </c>
      <c r="G196">
        <f t="shared" si="44"/>
        <v>0</v>
      </c>
      <c r="H196" t="s">
        <v>10</v>
      </c>
      <c r="I196" t="str">
        <f t="shared" si="41"/>
        <v>R</v>
      </c>
      <c r="J196" t="str">
        <f t="shared" si="42"/>
        <v>Yes</v>
      </c>
      <c r="K196">
        <f t="shared" si="45"/>
        <v>1</v>
      </c>
      <c r="L196" t="str">
        <f t="shared" si="43"/>
        <v>Yes</v>
      </c>
      <c r="M196">
        <f t="shared" si="46"/>
        <v>1</v>
      </c>
      <c r="N196" t="s">
        <v>0</v>
      </c>
      <c r="O196" t="s">
        <v>72</v>
      </c>
      <c r="P196" t="s">
        <v>254</v>
      </c>
      <c r="Q196" t="s">
        <v>95</v>
      </c>
    </row>
    <row r="197" spans="1:17" x14ac:dyDescent="0.3">
      <c r="A197" t="s">
        <v>302</v>
      </c>
      <c r="B197" t="s">
        <v>372</v>
      </c>
      <c r="C197" t="s">
        <v>304</v>
      </c>
      <c r="D197" t="s">
        <v>373</v>
      </c>
      <c r="E197" t="s">
        <v>59</v>
      </c>
      <c r="F197" t="str">
        <f t="shared" si="40"/>
        <v>CS</v>
      </c>
      <c r="G197">
        <f t="shared" si="44"/>
        <v>1</v>
      </c>
      <c r="H197" t="s">
        <v>10</v>
      </c>
      <c r="I197" t="str">
        <f t="shared" si="41"/>
        <v>R</v>
      </c>
      <c r="J197" t="str">
        <f t="shared" si="42"/>
        <v>No</v>
      </c>
      <c r="K197">
        <f t="shared" si="45"/>
        <v>0</v>
      </c>
      <c r="L197" t="str">
        <f t="shared" si="43"/>
        <v>No</v>
      </c>
      <c r="M197">
        <f t="shared" si="46"/>
        <v>0</v>
      </c>
      <c r="N197" t="s">
        <v>0</v>
      </c>
      <c r="O197" t="s">
        <v>72</v>
      </c>
      <c r="P197" t="s">
        <v>254</v>
      </c>
      <c r="Q197" t="s">
        <v>95</v>
      </c>
    </row>
    <row r="198" spans="1:17" x14ac:dyDescent="0.3">
      <c r="A198" t="s">
        <v>302</v>
      </c>
      <c r="B198" t="s">
        <v>372</v>
      </c>
      <c r="C198" t="s">
        <v>306</v>
      </c>
      <c r="D198" t="s">
        <v>374</v>
      </c>
      <c r="E198" t="s">
        <v>10</v>
      </c>
      <c r="F198" t="str">
        <f t="shared" si="40"/>
        <v>R</v>
      </c>
      <c r="G198">
        <f t="shared" si="44"/>
        <v>0</v>
      </c>
      <c r="H198" t="s">
        <v>10</v>
      </c>
      <c r="I198" t="str">
        <f t="shared" si="41"/>
        <v>R</v>
      </c>
      <c r="J198" t="str">
        <f t="shared" si="42"/>
        <v>Yes</v>
      </c>
      <c r="K198">
        <f t="shared" si="45"/>
        <v>1</v>
      </c>
      <c r="L198" t="str">
        <f t="shared" si="43"/>
        <v>Yes</v>
      </c>
      <c r="M198">
        <f t="shared" si="46"/>
        <v>1</v>
      </c>
      <c r="N198" t="s">
        <v>0</v>
      </c>
      <c r="O198" t="s">
        <v>72</v>
      </c>
      <c r="P198" t="s">
        <v>254</v>
      </c>
      <c r="Q198" t="s">
        <v>95</v>
      </c>
    </row>
    <row r="199" spans="1:17" x14ac:dyDescent="0.3">
      <c r="A199" t="s">
        <v>308</v>
      </c>
      <c r="B199" t="s">
        <v>375</v>
      </c>
      <c r="C199" t="s">
        <v>310</v>
      </c>
      <c r="D199" t="s">
        <v>376</v>
      </c>
      <c r="E199" t="s">
        <v>59</v>
      </c>
      <c r="F199" t="str">
        <f t="shared" si="40"/>
        <v>CS</v>
      </c>
      <c r="G199">
        <f t="shared" si="44"/>
        <v>1</v>
      </c>
      <c r="H199" t="s">
        <v>10</v>
      </c>
      <c r="I199" t="str">
        <f t="shared" si="41"/>
        <v>R</v>
      </c>
      <c r="J199" t="str">
        <f t="shared" si="42"/>
        <v>No</v>
      </c>
      <c r="K199">
        <f t="shared" si="45"/>
        <v>0</v>
      </c>
      <c r="L199" t="str">
        <f t="shared" si="43"/>
        <v>No</v>
      </c>
      <c r="M199">
        <f t="shared" si="46"/>
        <v>0</v>
      </c>
      <c r="N199" t="s">
        <v>0</v>
      </c>
      <c r="O199" t="s">
        <v>72</v>
      </c>
      <c r="P199" t="s">
        <v>254</v>
      </c>
      <c r="Q199" t="s">
        <v>95</v>
      </c>
    </row>
    <row r="200" spans="1:17" x14ac:dyDescent="0.3">
      <c r="A200" t="s">
        <v>308</v>
      </c>
      <c r="B200" t="s">
        <v>375</v>
      </c>
      <c r="C200" t="s">
        <v>312</v>
      </c>
      <c r="D200" t="s">
        <v>377</v>
      </c>
      <c r="E200" t="s">
        <v>10</v>
      </c>
      <c r="F200" t="str">
        <f t="shared" si="40"/>
        <v>R</v>
      </c>
      <c r="G200">
        <f t="shared" si="44"/>
        <v>0</v>
      </c>
      <c r="H200" t="s">
        <v>10</v>
      </c>
      <c r="I200" t="str">
        <f t="shared" si="41"/>
        <v>R</v>
      </c>
      <c r="J200" t="str">
        <f t="shared" si="42"/>
        <v>Yes</v>
      </c>
      <c r="K200">
        <f t="shared" si="45"/>
        <v>1</v>
      </c>
      <c r="L200" t="str">
        <f t="shared" si="43"/>
        <v>Yes</v>
      </c>
      <c r="M200">
        <f t="shared" si="46"/>
        <v>1</v>
      </c>
      <c r="N200" t="s">
        <v>0</v>
      </c>
      <c r="O200" t="s">
        <v>72</v>
      </c>
      <c r="P200" t="s">
        <v>254</v>
      </c>
      <c r="Q200" t="s">
        <v>95</v>
      </c>
    </row>
    <row r="201" spans="1:17" x14ac:dyDescent="0.3">
      <c r="A201" t="s">
        <v>314</v>
      </c>
      <c r="B201" t="s">
        <v>378</v>
      </c>
      <c r="C201" t="s">
        <v>316</v>
      </c>
      <c r="D201" t="s">
        <v>379</v>
      </c>
      <c r="E201" t="s">
        <v>59</v>
      </c>
      <c r="F201" t="str">
        <f t="shared" si="40"/>
        <v>CS</v>
      </c>
      <c r="G201">
        <f t="shared" si="44"/>
        <v>1</v>
      </c>
      <c r="H201" t="s">
        <v>25</v>
      </c>
      <c r="I201" t="str">
        <f t="shared" si="41"/>
        <v>CS</v>
      </c>
      <c r="J201" t="str">
        <f t="shared" si="42"/>
        <v>Yes</v>
      </c>
      <c r="K201">
        <f t="shared" si="45"/>
        <v>1</v>
      </c>
      <c r="L201" t="str">
        <f t="shared" si="43"/>
        <v>No</v>
      </c>
      <c r="M201">
        <f t="shared" si="46"/>
        <v>0</v>
      </c>
      <c r="N201" t="s">
        <v>0</v>
      </c>
      <c r="O201" t="s">
        <v>72</v>
      </c>
      <c r="P201" t="s">
        <v>254</v>
      </c>
      <c r="Q201" t="s">
        <v>95</v>
      </c>
    </row>
    <row r="202" spans="1:17" x14ac:dyDescent="0.3">
      <c r="A202" t="s">
        <v>318</v>
      </c>
      <c r="B202" t="s">
        <v>380</v>
      </c>
      <c r="C202" t="s">
        <v>320</v>
      </c>
      <c r="D202" t="s">
        <v>381</v>
      </c>
      <c r="E202" t="s">
        <v>172</v>
      </c>
      <c r="F202" t="str">
        <f t="shared" si="40"/>
        <v>CS</v>
      </c>
      <c r="G202">
        <f t="shared" si="44"/>
        <v>1</v>
      </c>
      <c r="H202" t="s">
        <v>10</v>
      </c>
      <c r="I202" t="str">
        <f t="shared" si="41"/>
        <v>R</v>
      </c>
      <c r="J202" t="str">
        <f t="shared" si="42"/>
        <v>No</v>
      </c>
      <c r="K202">
        <f t="shared" si="45"/>
        <v>0</v>
      </c>
      <c r="L202" t="str">
        <f t="shared" si="43"/>
        <v>No</v>
      </c>
      <c r="M202">
        <f t="shared" si="46"/>
        <v>0</v>
      </c>
      <c r="N202" t="s">
        <v>0</v>
      </c>
      <c r="O202" t="s">
        <v>72</v>
      </c>
      <c r="P202" t="s">
        <v>254</v>
      </c>
      <c r="Q202" t="s">
        <v>95</v>
      </c>
    </row>
    <row r="203" spans="1:17" x14ac:dyDescent="0.3">
      <c r="A203" t="s">
        <v>382</v>
      </c>
      <c r="B203" t="s">
        <v>383</v>
      </c>
      <c r="C203" t="s">
        <v>384</v>
      </c>
      <c r="D203" t="s">
        <v>385</v>
      </c>
      <c r="E203" t="s">
        <v>172</v>
      </c>
      <c r="F203" t="str">
        <f>IF(E203="R", "R", "CS")</f>
        <v>CS</v>
      </c>
      <c r="G203">
        <f t="shared" si="44"/>
        <v>1</v>
      </c>
      <c r="H203" t="s">
        <v>25</v>
      </c>
      <c r="I203" t="str">
        <f>IF(H203="R", "R", "CS")</f>
        <v>CS</v>
      </c>
      <c r="J203" t="str">
        <f>IF(F203=I203, "Yes", "No")</f>
        <v>Yes</v>
      </c>
      <c r="K203">
        <f t="shared" si="45"/>
        <v>1</v>
      </c>
      <c r="L203" t="str">
        <f>IF(E203=H203,  "Yes", "No")</f>
        <v>No</v>
      </c>
      <c r="M203">
        <f t="shared" si="46"/>
        <v>0</v>
      </c>
      <c r="N203" t="s">
        <v>462</v>
      </c>
      <c r="O203" t="s">
        <v>463</v>
      </c>
      <c r="P203" t="s">
        <v>254</v>
      </c>
      <c r="Q203" t="s">
        <v>3</v>
      </c>
    </row>
    <row r="204" spans="1:17" x14ac:dyDescent="0.3">
      <c r="A204" t="s">
        <v>386</v>
      </c>
      <c r="B204" t="s">
        <v>387</v>
      </c>
      <c r="C204" t="s">
        <v>388</v>
      </c>
      <c r="D204" t="s">
        <v>389</v>
      </c>
      <c r="E204" t="s">
        <v>10</v>
      </c>
      <c r="F204" t="str">
        <f t="shared" ref="F204:F227" si="47">IF(E204="R", "R", "CS")</f>
        <v>R</v>
      </c>
      <c r="G204">
        <f t="shared" si="44"/>
        <v>0</v>
      </c>
      <c r="H204" t="s">
        <v>144</v>
      </c>
      <c r="I204" t="s">
        <v>144</v>
      </c>
      <c r="J204" t="str">
        <f t="shared" ref="J204:J227" si="48">IF(F204=I204, "Yes", "No")</f>
        <v>No</v>
      </c>
      <c r="K204">
        <f t="shared" si="45"/>
        <v>0</v>
      </c>
      <c r="L204" t="str">
        <f t="shared" ref="L204:L227" si="49">IF(E204=H204,  "Yes", "No")</f>
        <v>No</v>
      </c>
      <c r="M204">
        <f t="shared" si="46"/>
        <v>0</v>
      </c>
      <c r="N204" t="s">
        <v>462</v>
      </c>
      <c r="O204" t="s">
        <v>463</v>
      </c>
      <c r="P204" t="s">
        <v>254</v>
      </c>
      <c r="Q204" t="s">
        <v>3</v>
      </c>
    </row>
    <row r="205" spans="1:17" x14ac:dyDescent="0.3">
      <c r="A205" t="s">
        <v>386</v>
      </c>
      <c r="B205" t="s">
        <v>387</v>
      </c>
      <c r="C205" t="s">
        <v>390</v>
      </c>
      <c r="D205" t="s">
        <v>391</v>
      </c>
      <c r="E205" t="s">
        <v>59</v>
      </c>
      <c r="F205" t="str">
        <f t="shared" si="47"/>
        <v>CS</v>
      </c>
      <c r="G205">
        <f t="shared" si="44"/>
        <v>1</v>
      </c>
      <c r="H205" t="s">
        <v>10</v>
      </c>
      <c r="I205" t="str">
        <f t="shared" ref="I205:I227" si="50">IF(H205="R", "R", "CS")</f>
        <v>R</v>
      </c>
      <c r="J205" t="str">
        <f t="shared" si="48"/>
        <v>No</v>
      </c>
      <c r="K205">
        <f t="shared" si="45"/>
        <v>0</v>
      </c>
      <c r="L205" t="str">
        <f t="shared" si="49"/>
        <v>No</v>
      </c>
      <c r="M205">
        <f t="shared" si="46"/>
        <v>0</v>
      </c>
      <c r="N205" t="s">
        <v>462</v>
      </c>
      <c r="O205" t="s">
        <v>463</v>
      </c>
      <c r="P205" t="s">
        <v>254</v>
      </c>
      <c r="Q205" t="s">
        <v>3</v>
      </c>
    </row>
    <row r="206" spans="1:17" x14ac:dyDescent="0.3">
      <c r="A206" t="s">
        <v>392</v>
      </c>
      <c r="B206" t="s">
        <v>393</v>
      </c>
      <c r="C206" t="s">
        <v>394</v>
      </c>
      <c r="D206" t="s">
        <v>395</v>
      </c>
      <c r="E206" t="s">
        <v>59</v>
      </c>
      <c r="F206" t="str">
        <f t="shared" si="47"/>
        <v>CS</v>
      </c>
      <c r="G206">
        <f t="shared" si="44"/>
        <v>1</v>
      </c>
      <c r="H206" t="s">
        <v>44</v>
      </c>
      <c r="I206" t="str">
        <f t="shared" si="50"/>
        <v>CS</v>
      </c>
      <c r="J206" t="str">
        <f t="shared" si="48"/>
        <v>Yes</v>
      </c>
      <c r="K206">
        <f t="shared" si="45"/>
        <v>1</v>
      </c>
      <c r="L206" t="str">
        <f t="shared" si="49"/>
        <v>No</v>
      </c>
      <c r="M206">
        <f t="shared" si="46"/>
        <v>0</v>
      </c>
      <c r="N206" t="s">
        <v>462</v>
      </c>
      <c r="O206" t="s">
        <v>463</v>
      </c>
      <c r="P206" t="s">
        <v>254</v>
      </c>
      <c r="Q206" t="s">
        <v>3</v>
      </c>
    </row>
    <row r="207" spans="1:17" x14ac:dyDescent="0.3">
      <c r="A207" t="s">
        <v>392</v>
      </c>
      <c r="B207" t="s">
        <v>393</v>
      </c>
      <c r="C207" t="s">
        <v>396</v>
      </c>
      <c r="D207" t="s">
        <v>397</v>
      </c>
      <c r="E207" t="s">
        <v>10</v>
      </c>
      <c r="F207" t="str">
        <f t="shared" si="47"/>
        <v>R</v>
      </c>
      <c r="G207">
        <f t="shared" si="44"/>
        <v>0</v>
      </c>
      <c r="H207" t="s">
        <v>59</v>
      </c>
      <c r="I207" t="str">
        <f t="shared" si="50"/>
        <v>CS</v>
      </c>
      <c r="J207" t="str">
        <f t="shared" si="48"/>
        <v>No</v>
      </c>
      <c r="K207">
        <f t="shared" si="45"/>
        <v>0</v>
      </c>
      <c r="L207" t="str">
        <f t="shared" si="49"/>
        <v>No</v>
      </c>
      <c r="M207">
        <f t="shared" si="46"/>
        <v>0</v>
      </c>
      <c r="N207" t="s">
        <v>462</v>
      </c>
      <c r="O207" t="s">
        <v>463</v>
      </c>
      <c r="P207" t="s">
        <v>254</v>
      </c>
      <c r="Q207" t="s">
        <v>3</v>
      </c>
    </row>
    <row r="208" spans="1:17" x14ac:dyDescent="0.3">
      <c r="A208" t="s">
        <v>392</v>
      </c>
      <c r="B208" t="s">
        <v>393</v>
      </c>
      <c r="C208" t="s">
        <v>398</v>
      </c>
      <c r="D208" t="s">
        <v>399</v>
      </c>
      <c r="E208" t="s">
        <v>172</v>
      </c>
      <c r="F208" t="str">
        <f t="shared" si="47"/>
        <v>CS</v>
      </c>
      <c r="G208">
        <f t="shared" si="44"/>
        <v>1</v>
      </c>
      <c r="H208" t="s">
        <v>10</v>
      </c>
      <c r="I208" t="str">
        <f t="shared" si="50"/>
        <v>R</v>
      </c>
      <c r="J208" t="str">
        <f t="shared" si="48"/>
        <v>No</v>
      </c>
      <c r="K208">
        <f t="shared" si="45"/>
        <v>0</v>
      </c>
      <c r="L208" t="str">
        <f t="shared" si="49"/>
        <v>No</v>
      </c>
      <c r="M208">
        <f t="shared" si="46"/>
        <v>0</v>
      </c>
      <c r="N208" t="s">
        <v>462</v>
      </c>
      <c r="O208" t="s">
        <v>463</v>
      </c>
      <c r="P208" t="s">
        <v>254</v>
      </c>
      <c r="Q208" t="s">
        <v>3</v>
      </c>
    </row>
    <row r="209" spans="1:17" x14ac:dyDescent="0.3">
      <c r="A209" t="s">
        <v>400</v>
      </c>
      <c r="B209" t="s">
        <v>401</v>
      </c>
      <c r="C209" t="s">
        <v>402</v>
      </c>
      <c r="D209" t="s">
        <v>403</v>
      </c>
      <c r="E209" t="s">
        <v>10</v>
      </c>
      <c r="F209" t="str">
        <f t="shared" si="47"/>
        <v>R</v>
      </c>
      <c r="G209">
        <f t="shared" si="44"/>
        <v>0</v>
      </c>
      <c r="H209" t="s">
        <v>10</v>
      </c>
      <c r="I209" t="str">
        <f t="shared" si="50"/>
        <v>R</v>
      </c>
      <c r="J209" t="str">
        <f t="shared" si="48"/>
        <v>Yes</v>
      </c>
      <c r="K209">
        <f t="shared" si="45"/>
        <v>1</v>
      </c>
      <c r="L209" t="str">
        <f t="shared" si="49"/>
        <v>Yes</v>
      </c>
      <c r="M209">
        <f t="shared" si="46"/>
        <v>1</v>
      </c>
      <c r="N209" t="s">
        <v>462</v>
      </c>
      <c r="O209" t="s">
        <v>463</v>
      </c>
      <c r="P209" t="s">
        <v>254</v>
      </c>
      <c r="Q209" t="s">
        <v>3</v>
      </c>
    </row>
    <row r="210" spans="1:17" x14ac:dyDescent="0.3">
      <c r="A210" t="s">
        <v>400</v>
      </c>
      <c r="B210" t="s">
        <v>401</v>
      </c>
      <c r="C210" t="s">
        <v>404</v>
      </c>
      <c r="D210" t="s">
        <v>405</v>
      </c>
      <c r="E210" t="s">
        <v>59</v>
      </c>
      <c r="F210" t="str">
        <f t="shared" si="47"/>
        <v>CS</v>
      </c>
      <c r="G210">
        <f t="shared" si="44"/>
        <v>1</v>
      </c>
      <c r="H210" t="s">
        <v>25</v>
      </c>
      <c r="I210" t="str">
        <f t="shared" si="50"/>
        <v>CS</v>
      </c>
      <c r="J210" t="str">
        <f t="shared" si="48"/>
        <v>Yes</v>
      </c>
      <c r="K210">
        <f t="shared" si="45"/>
        <v>1</v>
      </c>
      <c r="L210" t="str">
        <f t="shared" si="49"/>
        <v>No</v>
      </c>
      <c r="M210">
        <f t="shared" si="46"/>
        <v>0</v>
      </c>
      <c r="N210" t="s">
        <v>462</v>
      </c>
      <c r="O210" t="s">
        <v>463</v>
      </c>
      <c r="P210" t="s">
        <v>254</v>
      </c>
      <c r="Q210" t="s">
        <v>3</v>
      </c>
    </row>
    <row r="211" spans="1:17" x14ac:dyDescent="0.3">
      <c r="A211" t="s">
        <v>400</v>
      </c>
      <c r="B211" t="s">
        <v>401</v>
      </c>
      <c r="C211" t="s">
        <v>406</v>
      </c>
      <c r="D211" t="s">
        <v>407</v>
      </c>
      <c r="E211" t="s">
        <v>172</v>
      </c>
      <c r="F211" t="str">
        <f t="shared" si="47"/>
        <v>CS</v>
      </c>
      <c r="G211">
        <f t="shared" si="44"/>
        <v>1</v>
      </c>
      <c r="H211" t="s">
        <v>172</v>
      </c>
      <c r="I211" t="str">
        <f t="shared" si="50"/>
        <v>CS</v>
      </c>
      <c r="J211" t="str">
        <f t="shared" si="48"/>
        <v>Yes</v>
      </c>
      <c r="K211">
        <f t="shared" si="45"/>
        <v>1</v>
      </c>
      <c r="L211" t="str">
        <f t="shared" si="49"/>
        <v>Yes</v>
      </c>
      <c r="M211">
        <f t="shared" si="46"/>
        <v>1</v>
      </c>
      <c r="N211" t="s">
        <v>462</v>
      </c>
      <c r="O211" t="s">
        <v>463</v>
      </c>
      <c r="P211" t="s">
        <v>254</v>
      </c>
      <c r="Q211" t="s">
        <v>3</v>
      </c>
    </row>
    <row r="212" spans="1:17" x14ac:dyDescent="0.3">
      <c r="A212" t="s">
        <v>408</v>
      </c>
      <c r="B212" t="s">
        <v>409</v>
      </c>
      <c r="C212" t="s">
        <v>410</v>
      </c>
      <c r="D212" t="s">
        <v>411</v>
      </c>
      <c r="E212" t="s">
        <v>59</v>
      </c>
      <c r="F212" t="str">
        <f t="shared" si="47"/>
        <v>CS</v>
      </c>
      <c r="G212">
        <f t="shared" si="44"/>
        <v>1</v>
      </c>
      <c r="H212" t="s">
        <v>59</v>
      </c>
      <c r="I212" t="str">
        <f t="shared" si="50"/>
        <v>CS</v>
      </c>
      <c r="J212" t="str">
        <f t="shared" si="48"/>
        <v>Yes</v>
      </c>
      <c r="K212">
        <f t="shared" si="45"/>
        <v>1</v>
      </c>
      <c r="L212" t="str">
        <f t="shared" si="49"/>
        <v>Yes</v>
      </c>
      <c r="M212">
        <f t="shared" si="46"/>
        <v>1</v>
      </c>
      <c r="N212" t="s">
        <v>462</v>
      </c>
      <c r="O212" t="s">
        <v>463</v>
      </c>
      <c r="P212" t="s">
        <v>254</v>
      </c>
      <c r="Q212" t="s">
        <v>3</v>
      </c>
    </row>
    <row r="213" spans="1:17" x14ac:dyDescent="0.3">
      <c r="A213" t="s">
        <v>408</v>
      </c>
      <c r="B213" t="s">
        <v>409</v>
      </c>
      <c r="C213" t="s">
        <v>412</v>
      </c>
      <c r="D213" t="s">
        <v>413</v>
      </c>
      <c r="E213" t="s">
        <v>10</v>
      </c>
      <c r="F213" t="str">
        <f t="shared" si="47"/>
        <v>R</v>
      </c>
      <c r="G213">
        <f t="shared" si="44"/>
        <v>0</v>
      </c>
      <c r="H213" t="s">
        <v>144</v>
      </c>
      <c r="I213" t="s">
        <v>144</v>
      </c>
      <c r="J213" t="str">
        <f t="shared" si="48"/>
        <v>No</v>
      </c>
      <c r="K213">
        <f t="shared" si="45"/>
        <v>0</v>
      </c>
      <c r="L213" t="str">
        <f t="shared" si="49"/>
        <v>No</v>
      </c>
      <c r="M213">
        <f t="shared" si="46"/>
        <v>0</v>
      </c>
      <c r="N213" t="s">
        <v>462</v>
      </c>
      <c r="O213" t="s">
        <v>463</v>
      </c>
      <c r="P213" t="s">
        <v>254</v>
      </c>
      <c r="Q213" t="s">
        <v>3</v>
      </c>
    </row>
    <row r="214" spans="1:17" x14ac:dyDescent="0.3">
      <c r="A214" t="s">
        <v>414</v>
      </c>
      <c r="B214" t="s">
        <v>415</v>
      </c>
      <c r="C214" t="s">
        <v>416</v>
      </c>
      <c r="D214" t="s">
        <v>417</v>
      </c>
      <c r="E214" t="s">
        <v>10</v>
      </c>
      <c r="F214" t="str">
        <f t="shared" si="47"/>
        <v>R</v>
      </c>
      <c r="G214">
        <f t="shared" si="44"/>
        <v>0</v>
      </c>
      <c r="H214" t="s">
        <v>10</v>
      </c>
      <c r="I214" t="str">
        <f t="shared" si="50"/>
        <v>R</v>
      </c>
      <c r="J214" t="str">
        <f t="shared" si="48"/>
        <v>Yes</v>
      </c>
      <c r="K214">
        <f t="shared" si="45"/>
        <v>1</v>
      </c>
      <c r="L214" t="str">
        <f t="shared" si="49"/>
        <v>Yes</v>
      </c>
      <c r="M214">
        <f t="shared" si="46"/>
        <v>1</v>
      </c>
      <c r="N214" t="s">
        <v>462</v>
      </c>
      <c r="O214" t="s">
        <v>463</v>
      </c>
      <c r="P214" t="s">
        <v>254</v>
      </c>
      <c r="Q214" t="s">
        <v>3</v>
      </c>
    </row>
    <row r="215" spans="1:17" x14ac:dyDescent="0.3">
      <c r="A215" t="s">
        <v>418</v>
      </c>
      <c r="B215" t="s">
        <v>419</v>
      </c>
      <c r="C215" t="s">
        <v>420</v>
      </c>
      <c r="D215" t="s">
        <v>421</v>
      </c>
      <c r="E215" t="s">
        <v>59</v>
      </c>
      <c r="F215" t="str">
        <f t="shared" si="47"/>
        <v>CS</v>
      </c>
      <c r="G215">
        <f t="shared" si="44"/>
        <v>1</v>
      </c>
      <c r="H215" t="s">
        <v>10</v>
      </c>
      <c r="I215" t="str">
        <f t="shared" si="50"/>
        <v>R</v>
      </c>
      <c r="J215" t="str">
        <f t="shared" si="48"/>
        <v>No</v>
      </c>
      <c r="K215">
        <f t="shared" si="45"/>
        <v>0</v>
      </c>
      <c r="L215" t="str">
        <f t="shared" si="49"/>
        <v>No</v>
      </c>
      <c r="M215">
        <f t="shared" si="46"/>
        <v>0</v>
      </c>
      <c r="N215" t="s">
        <v>462</v>
      </c>
      <c r="O215" t="s">
        <v>463</v>
      </c>
      <c r="P215" t="s">
        <v>254</v>
      </c>
      <c r="Q215" t="s">
        <v>3</v>
      </c>
    </row>
    <row r="216" spans="1:17" x14ac:dyDescent="0.3">
      <c r="A216" t="s">
        <v>422</v>
      </c>
      <c r="B216" t="s">
        <v>423</v>
      </c>
      <c r="C216" t="s">
        <v>424</v>
      </c>
      <c r="D216" t="s">
        <v>425</v>
      </c>
      <c r="E216" t="s">
        <v>59</v>
      </c>
      <c r="F216" t="str">
        <f t="shared" si="47"/>
        <v>CS</v>
      </c>
      <c r="G216">
        <f t="shared" si="44"/>
        <v>1</v>
      </c>
      <c r="H216" t="s">
        <v>10</v>
      </c>
      <c r="I216" t="str">
        <f t="shared" si="50"/>
        <v>R</v>
      </c>
      <c r="J216" t="str">
        <f t="shared" si="48"/>
        <v>No</v>
      </c>
      <c r="K216">
        <f t="shared" si="45"/>
        <v>0</v>
      </c>
      <c r="L216" t="str">
        <f t="shared" si="49"/>
        <v>No</v>
      </c>
      <c r="M216">
        <f t="shared" si="46"/>
        <v>0</v>
      </c>
      <c r="N216" t="s">
        <v>462</v>
      </c>
      <c r="O216" t="s">
        <v>463</v>
      </c>
      <c r="P216" t="s">
        <v>254</v>
      </c>
      <c r="Q216" t="s">
        <v>3</v>
      </c>
    </row>
    <row r="217" spans="1:17" x14ac:dyDescent="0.3">
      <c r="A217" t="s">
        <v>422</v>
      </c>
      <c r="B217" t="s">
        <v>423</v>
      </c>
      <c r="C217" t="s">
        <v>426</v>
      </c>
      <c r="E217" t="s">
        <v>144</v>
      </c>
      <c r="F217" t="s">
        <v>144</v>
      </c>
      <c r="G217">
        <v>2</v>
      </c>
      <c r="H217" t="s">
        <v>144</v>
      </c>
      <c r="I217" t="s">
        <v>144</v>
      </c>
      <c r="J217" t="str">
        <f t="shared" si="48"/>
        <v>Yes</v>
      </c>
      <c r="K217">
        <f t="shared" si="45"/>
        <v>1</v>
      </c>
      <c r="L217" t="str">
        <f t="shared" si="49"/>
        <v>Yes</v>
      </c>
      <c r="M217">
        <f t="shared" si="46"/>
        <v>1</v>
      </c>
      <c r="N217" t="s">
        <v>462</v>
      </c>
      <c r="O217" t="s">
        <v>463</v>
      </c>
      <c r="P217" t="s">
        <v>254</v>
      </c>
      <c r="Q217" t="s">
        <v>3</v>
      </c>
    </row>
    <row r="218" spans="1:17" x14ac:dyDescent="0.3">
      <c r="A218" t="s">
        <v>427</v>
      </c>
      <c r="B218" t="s">
        <v>428</v>
      </c>
      <c r="C218" t="s">
        <v>429</v>
      </c>
      <c r="D218" t="s">
        <v>430</v>
      </c>
      <c r="E218" t="s">
        <v>44</v>
      </c>
      <c r="F218" t="str">
        <f t="shared" si="47"/>
        <v>CS</v>
      </c>
      <c r="G218">
        <f t="shared" si="44"/>
        <v>1</v>
      </c>
      <c r="H218" t="s">
        <v>25</v>
      </c>
      <c r="I218" t="str">
        <f t="shared" si="50"/>
        <v>CS</v>
      </c>
      <c r="J218" t="str">
        <f t="shared" si="48"/>
        <v>Yes</v>
      </c>
      <c r="K218">
        <f t="shared" si="45"/>
        <v>1</v>
      </c>
      <c r="L218" t="str">
        <f t="shared" si="49"/>
        <v>No</v>
      </c>
      <c r="M218">
        <f t="shared" si="46"/>
        <v>0</v>
      </c>
      <c r="N218" t="s">
        <v>462</v>
      </c>
      <c r="O218" t="s">
        <v>463</v>
      </c>
      <c r="P218" t="s">
        <v>254</v>
      </c>
      <c r="Q218" t="s">
        <v>3</v>
      </c>
    </row>
    <row r="219" spans="1:17" x14ac:dyDescent="0.3">
      <c r="A219" t="s">
        <v>427</v>
      </c>
      <c r="B219" t="s">
        <v>428</v>
      </c>
      <c r="C219" t="s">
        <v>431</v>
      </c>
      <c r="D219" t="s">
        <v>432</v>
      </c>
      <c r="E219" t="s">
        <v>10</v>
      </c>
      <c r="F219" t="str">
        <f t="shared" si="47"/>
        <v>R</v>
      </c>
      <c r="G219">
        <f t="shared" si="44"/>
        <v>0</v>
      </c>
      <c r="H219" t="s">
        <v>10</v>
      </c>
      <c r="I219" t="str">
        <f t="shared" si="50"/>
        <v>R</v>
      </c>
      <c r="J219" t="str">
        <f t="shared" si="48"/>
        <v>Yes</v>
      </c>
      <c r="K219">
        <f t="shared" si="45"/>
        <v>1</v>
      </c>
      <c r="L219" t="str">
        <f t="shared" si="49"/>
        <v>Yes</v>
      </c>
      <c r="M219">
        <f t="shared" si="46"/>
        <v>1</v>
      </c>
      <c r="N219" t="s">
        <v>462</v>
      </c>
      <c r="O219" t="s">
        <v>463</v>
      </c>
      <c r="P219" t="s">
        <v>254</v>
      </c>
      <c r="Q219" t="s">
        <v>3</v>
      </c>
    </row>
    <row r="220" spans="1:17" x14ac:dyDescent="0.3">
      <c r="A220" t="s">
        <v>433</v>
      </c>
      <c r="B220" t="s">
        <v>434</v>
      </c>
      <c r="C220" t="s">
        <v>435</v>
      </c>
      <c r="D220" t="s">
        <v>434</v>
      </c>
      <c r="E220" t="s">
        <v>59</v>
      </c>
      <c r="F220" t="str">
        <f t="shared" si="47"/>
        <v>CS</v>
      </c>
      <c r="G220">
        <f t="shared" si="44"/>
        <v>1</v>
      </c>
      <c r="H220" t="s">
        <v>10</v>
      </c>
      <c r="I220" t="str">
        <f t="shared" si="50"/>
        <v>R</v>
      </c>
      <c r="J220" t="str">
        <f t="shared" si="48"/>
        <v>No</v>
      </c>
      <c r="K220">
        <f t="shared" si="45"/>
        <v>0</v>
      </c>
      <c r="L220" t="str">
        <f t="shared" si="49"/>
        <v>No</v>
      </c>
      <c r="M220">
        <f t="shared" si="46"/>
        <v>0</v>
      </c>
      <c r="N220" t="s">
        <v>462</v>
      </c>
      <c r="O220" t="s">
        <v>463</v>
      </c>
      <c r="P220" t="s">
        <v>254</v>
      </c>
      <c r="Q220" t="s">
        <v>3</v>
      </c>
    </row>
    <row r="221" spans="1:17" x14ac:dyDescent="0.3">
      <c r="A221" t="s">
        <v>433</v>
      </c>
      <c r="B221" t="s">
        <v>434</v>
      </c>
      <c r="C221" t="s">
        <v>436</v>
      </c>
      <c r="D221" t="s">
        <v>437</v>
      </c>
      <c r="E221" t="s">
        <v>59</v>
      </c>
      <c r="F221" t="str">
        <f t="shared" si="47"/>
        <v>CS</v>
      </c>
      <c r="G221">
        <f t="shared" si="44"/>
        <v>1</v>
      </c>
      <c r="H221" t="s">
        <v>10</v>
      </c>
      <c r="I221" t="str">
        <f t="shared" si="50"/>
        <v>R</v>
      </c>
      <c r="J221" t="str">
        <f t="shared" si="48"/>
        <v>No</v>
      </c>
      <c r="K221">
        <f t="shared" si="45"/>
        <v>0</v>
      </c>
      <c r="L221" t="str">
        <f t="shared" si="49"/>
        <v>No</v>
      </c>
      <c r="M221">
        <f t="shared" si="46"/>
        <v>0</v>
      </c>
      <c r="N221" t="s">
        <v>462</v>
      </c>
      <c r="O221" t="s">
        <v>463</v>
      </c>
      <c r="P221" t="s">
        <v>254</v>
      </c>
      <c r="Q221" t="s">
        <v>3</v>
      </c>
    </row>
    <row r="222" spans="1:17" x14ac:dyDescent="0.3">
      <c r="A222" t="s">
        <v>438</v>
      </c>
      <c r="B222" t="s">
        <v>439</v>
      </c>
      <c r="C222" t="s">
        <v>440</v>
      </c>
      <c r="D222" t="s">
        <v>441</v>
      </c>
      <c r="E222" t="s">
        <v>10</v>
      </c>
      <c r="F222" t="str">
        <f t="shared" si="47"/>
        <v>R</v>
      </c>
      <c r="G222">
        <f t="shared" si="44"/>
        <v>0</v>
      </c>
      <c r="H222" t="s">
        <v>144</v>
      </c>
      <c r="I222" t="s">
        <v>144</v>
      </c>
      <c r="J222" t="str">
        <f t="shared" si="48"/>
        <v>No</v>
      </c>
      <c r="K222">
        <f t="shared" si="45"/>
        <v>0</v>
      </c>
      <c r="L222" t="str">
        <f t="shared" si="49"/>
        <v>No</v>
      </c>
      <c r="M222">
        <f t="shared" si="46"/>
        <v>0</v>
      </c>
      <c r="N222" t="s">
        <v>462</v>
      </c>
      <c r="O222" t="s">
        <v>463</v>
      </c>
      <c r="P222" t="s">
        <v>254</v>
      </c>
      <c r="Q222" t="s">
        <v>3</v>
      </c>
    </row>
    <row r="223" spans="1:17" x14ac:dyDescent="0.3">
      <c r="A223" t="s">
        <v>442</v>
      </c>
      <c r="B223" t="s">
        <v>443</v>
      </c>
      <c r="C223" t="s">
        <v>444</v>
      </c>
      <c r="D223" t="s">
        <v>445</v>
      </c>
      <c r="E223" t="s">
        <v>44</v>
      </c>
      <c r="F223" t="str">
        <f t="shared" si="47"/>
        <v>CS</v>
      </c>
      <c r="G223">
        <f t="shared" si="44"/>
        <v>1</v>
      </c>
      <c r="H223" t="s">
        <v>10</v>
      </c>
      <c r="I223" t="str">
        <f t="shared" si="50"/>
        <v>R</v>
      </c>
      <c r="J223" t="str">
        <f t="shared" si="48"/>
        <v>No</v>
      </c>
      <c r="K223">
        <f t="shared" si="45"/>
        <v>0</v>
      </c>
      <c r="L223" t="str">
        <f t="shared" si="49"/>
        <v>No</v>
      </c>
      <c r="M223">
        <f t="shared" si="46"/>
        <v>0</v>
      </c>
      <c r="N223" t="s">
        <v>462</v>
      </c>
      <c r="O223" t="s">
        <v>463</v>
      </c>
      <c r="P223" t="s">
        <v>254</v>
      </c>
      <c r="Q223" t="s">
        <v>3</v>
      </c>
    </row>
    <row r="224" spans="1:17" x14ac:dyDescent="0.3">
      <c r="A224" t="s">
        <v>446</v>
      </c>
      <c r="B224" t="s">
        <v>447</v>
      </c>
      <c r="C224" t="s">
        <v>448</v>
      </c>
      <c r="D224" t="s">
        <v>449</v>
      </c>
      <c r="E224" t="s">
        <v>59</v>
      </c>
      <c r="F224" t="str">
        <f t="shared" si="47"/>
        <v>CS</v>
      </c>
      <c r="G224">
        <f t="shared" si="44"/>
        <v>1</v>
      </c>
      <c r="H224" t="s">
        <v>25</v>
      </c>
      <c r="I224" t="str">
        <f t="shared" si="50"/>
        <v>CS</v>
      </c>
      <c r="J224" t="str">
        <f t="shared" si="48"/>
        <v>Yes</v>
      </c>
      <c r="K224">
        <f t="shared" si="45"/>
        <v>1</v>
      </c>
      <c r="L224" t="str">
        <f t="shared" si="49"/>
        <v>No</v>
      </c>
      <c r="M224">
        <f t="shared" si="46"/>
        <v>0</v>
      </c>
      <c r="N224" t="s">
        <v>462</v>
      </c>
      <c r="O224" t="s">
        <v>463</v>
      </c>
      <c r="P224" t="s">
        <v>254</v>
      </c>
      <c r="Q224" t="s">
        <v>3</v>
      </c>
    </row>
    <row r="225" spans="1:17" x14ac:dyDescent="0.3">
      <c r="A225" t="s">
        <v>450</v>
      </c>
      <c r="B225" t="s">
        <v>451</v>
      </c>
      <c r="C225" t="s">
        <v>452</v>
      </c>
      <c r="D225" t="s">
        <v>453</v>
      </c>
      <c r="E225" t="s">
        <v>10</v>
      </c>
      <c r="F225" t="str">
        <f t="shared" si="47"/>
        <v>R</v>
      </c>
      <c r="G225">
        <f t="shared" si="44"/>
        <v>0</v>
      </c>
      <c r="H225" t="s">
        <v>59</v>
      </c>
      <c r="I225" t="str">
        <f t="shared" si="50"/>
        <v>CS</v>
      </c>
      <c r="J225" t="str">
        <f t="shared" si="48"/>
        <v>No</v>
      </c>
      <c r="K225">
        <f t="shared" si="45"/>
        <v>0</v>
      </c>
      <c r="L225" t="str">
        <f t="shared" si="49"/>
        <v>No</v>
      </c>
      <c r="M225">
        <f t="shared" si="46"/>
        <v>0</v>
      </c>
      <c r="N225" t="s">
        <v>462</v>
      </c>
      <c r="O225" t="s">
        <v>463</v>
      </c>
      <c r="P225" t="s">
        <v>254</v>
      </c>
      <c r="Q225" t="s">
        <v>3</v>
      </c>
    </row>
    <row r="226" spans="1:17" x14ac:dyDescent="0.3">
      <c r="A226" t="s">
        <v>454</v>
      </c>
      <c r="B226" t="s">
        <v>455</v>
      </c>
      <c r="C226" t="s">
        <v>456</v>
      </c>
      <c r="D226" t="s">
        <v>457</v>
      </c>
      <c r="E226" t="s">
        <v>59</v>
      </c>
      <c r="F226" t="str">
        <f t="shared" si="47"/>
        <v>CS</v>
      </c>
      <c r="G226">
        <f t="shared" si="44"/>
        <v>1</v>
      </c>
      <c r="H226" t="s">
        <v>10</v>
      </c>
      <c r="I226" t="str">
        <f t="shared" si="50"/>
        <v>R</v>
      </c>
      <c r="J226" t="str">
        <f t="shared" si="48"/>
        <v>No</v>
      </c>
      <c r="K226">
        <f t="shared" si="45"/>
        <v>0</v>
      </c>
      <c r="L226" t="str">
        <f t="shared" si="49"/>
        <v>No</v>
      </c>
      <c r="M226">
        <f t="shared" si="46"/>
        <v>0</v>
      </c>
      <c r="N226" t="s">
        <v>462</v>
      </c>
      <c r="O226" t="s">
        <v>463</v>
      </c>
      <c r="P226" t="s">
        <v>254</v>
      </c>
      <c r="Q226" t="s">
        <v>3</v>
      </c>
    </row>
    <row r="227" spans="1:17" x14ac:dyDescent="0.3">
      <c r="A227" t="s">
        <v>458</v>
      </c>
      <c r="B227" t="s">
        <v>459</v>
      </c>
      <c r="C227" t="s">
        <v>460</v>
      </c>
      <c r="D227" t="s">
        <v>461</v>
      </c>
      <c r="E227" t="s">
        <v>172</v>
      </c>
      <c r="F227" t="str">
        <f t="shared" si="47"/>
        <v>CS</v>
      </c>
      <c r="G227">
        <f t="shared" si="44"/>
        <v>1</v>
      </c>
      <c r="H227" t="s">
        <v>59</v>
      </c>
      <c r="I227" t="str">
        <f t="shared" si="50"/>
        <v>CS</v>
      </c>
      <c r="J227" t="str">
        <f t="shared" si="48"/>
        <v>Yes</v>
      </c>
      <c r="K227">
        <f t="shared" si="45"/>
        <v>1</v>
      </c>
      <c r="L227" t="str">
        <f t="shared" si="49"/>
        <v>No</v>
      </c>
      <c r="M227">
        <f t="shared" si="46"/>
        <v>0</v>
      </c>
      <c r="N227" t="s">
        <v>462</v>
      </c>
      <c r="O227" t="s">
        <v>463</v>
      </c>
      <c r="P227" t="s">
        <v>254</v>
      </c>
      <c r="Q227" t="s">
        <v>3</v>
      </c>
    </row>
    <row r="228" spans="1:17" x14ac:dyDescent="0.3">
      <c r="A228" t="s">
        <v>382</v>
      </c>
      <c r="B228" t="s">
        <v>464</v>
      </c>
      <c r="C228" t="s">
        <v>384</v>
      </c>
      <c r="D228" t="s">
        <v>465</v>
      </c>
      <c r="E228" t="s">
        <v>10</v>
      </c>
      <c r="F228" t="str">
        <f>IF(E228="R", "R", "CS")</f>
        <v>R</v>
      </c>
      <c r="G228">
        <f t="shared" si="44"/>
        <v>0</v>
      </c>
      <c r="H228" t="s">
        <v>25</v>
      </c>
      <c r="I228" t="str">
        <f>IF(H228="R", "R", "CS")</f>
        <v>CS</v>
      </c>
      <c r="J228" t="str">
        <f>IF(F228=I228, "Yes", "No")</f>
        <v>No</v>
      </c>
      <c r="K228">
        <f t="shared" si="45"/>
        <v>0</v>
      </c>
      <c r="L228" t="str">
        <f>IF(E228=H228, "Yes", "No")</f>
        <v>No</v>
      </c>
      <c r="M228">
        <f t="shared" si="46"/>
        <v>0</v>
      </c>
      <c r="N228" t="s">
        <v>462</v>
      </c>
      <c r="O228" t="s">
        <v>463</v>
      </c>
      <c r="P228" t="s">
        <v>254</v>
      </c>
      <c r="Q228" t="s">
        <v>74</v>
      </c>
    </row>
    <row r="229" spans="1:17" x14ac:dyDescent="0.3">
      <c r="A229" t="s">
        <v>386</v>
      </c>
      <c r="B229" t="s">
        <v>466</v>
      </c>
      <c r="C229" t="s">
        <v>388</v>
      </c>
      <c r="D229" t="s">
        <v>467</v>
      </c>
      <c r="E229" t="s">
        <v>10</v>
      </c>
      <c r="F229" t="str">
        <f t="shared" ref="F229:F252" si="51">IF(E229="R", "R", "CS")</f>
        <v>R</v>
      </c>
      <c r="G229">
        <f t="shared" si="44"/>
        <v>0</v>
      </c>
      <c r="H229" t="s">
        <v>172</v>
      </c>
      <c r="I229" t="str">
        <f t="shared" ref="I229:I252" si="52">IF(H229="R", "R", "CS")</f>
        <v>CS</v>
      </c>
      <c r="J229" t="str">
        <f t="shared" ref="J229:J252" si="53">IF(F229=I229, "Yes", "No")</f>
        <v>No</v>
      </c>
      <c r="K229">
        <f t="shared" si="45"/>
        <v>0</v>
      </c>
      <c r="L229" t="str">
        <f t="shared" ref="L229:L252" si="54">IF(E229=H229, "Yes", "No")</f>
        <v>No</v>
      </c>
      <c r="M229">
        <f t="shared" si="46"/>
        <v>0</v>
      </c>
      <c r="N229" t="s">
        <v>462</v>
      </c>
      <c r="O229" t="s">
        <v>463</v>
      </c>
      <c r="P229" t="s">
        <v>254</v>
      </c>
      <c r="Q229" t="s">
        <v>74</v>
      </c>
    </row>
    <row r="230" spans="1:17" x14ac:dyDescent="0.3">
      <c r="A230" t="s">
        <v>386</v>
      </c>
      <c r="B230" t="s">
        <v>466</v>
      </c>
      <c r="C230" t="s">
        <v>390</v>
      </c>
      <c r="D230" t="s">
        <v>468</v>
      </c>
      <c r="E230" t="s">
        <v>10</v>
      </c>
      <c r="F230" t="str">
        <f t="shared" si="51"/>
        <v>R</v>
      </c>
      <c r="G230">
        <f t="shared" si="44"/>
        <v>0</v>
      </c>
      <c r="H230" t="s">
        <v>10</v>
      </c>
      <c r="I230" t="str">
        <f t="shared" si="52"/>
        <v>R</v>
      </c>
      <c r="J230" t="str">
        <f t="shared" si="53"/>
        <v>Yes</v>
      </c>
      <c r="K230">
        <f t="shared" si="45"/>
        <v>1</v>
      </c>
      <c r="L230" t="str">
        <f t="shared" si="54"/>
        <v>Yes</v>
      </c>
      <c r="M230">
        <f t="shared" si="46"/>
        <v>1</v>
      </c>
      <c r="N230" t="s">
        <v>462</v>
      </c>
      <c r="O230" t="s">
        <v>463</v>
      </c>
      <c r="P230" t="s">
        <v>254</v>
      </c>
      <c r="Q230" t="s">
        <v>74</v>
      </c>
    </row>
    <row r="231" spans="1:17" x14ac:dyDescent="0.3">
      <c r="A231" t="s">
        <v>469</v>
      </c>
      <c r="B231" t="s">
        <v>470</v>
      </c>
      <c r="C231" t="s">
        <v>394</v>
      </c>
      <c r="D231" t="s">
        <v>471</v>
      </c>
      <c r="E231" t="s">
        <v>10</v>
      </c>
      <c r="F231" t="str">
        <f t="shared" si="51"/>
        <v>R</v>
      </c>
      <c r="G231">
        <f t="shared" si="44"/>
        <v>0</v>
      </c>
      <c r="H231" t="s">
        <v>25</v>
      </c>
      <c r="I231" t="str">
        <f t="shared" si="52"/>
        <v>CS</v>
      </c>
      <c r="J231" t="str">
        <f t="shared" si="53"/>
        <v>No</v>
      </c>
      <c r="K231">
        <f t="shared" si="45"/>
        <v>0</v>
      </c>
      <c r="L231" t="str">
        <f t="shared" si="54"/>
        <v>No</v>
      </c>
      <c r="M231">
        <f t="shared" si="46"/>
        <v>0</v>
      </c>
      <c r="N231" t="s">
        <v>462</v>
      </c>
      <c r="O231" t="s">
        <v>463</v>
      </c>
      <c r="P231" t="s">
        <v>254</v>
      </c>
      <c r="Q231" t="s">
        <v>74</v>
      </c>
    </row>
    <row r="232" spans="1:17" x14ac:dyDescent="0.3">
      <c r="A232" t="s">
        <v>472</v>
      </c>
      <c r="B232" t="s">
        <v>473</v>
      </c>
      <c r="C232" t="s">
        <v>396</v>
      </c>
      <c r="D232" t="s">
        <v>474</v>
      </c>
      <c r="E232" t="s">
        <v>10</v>
      </c>
      <c r="F232" t="str">
        <f t="shared" si="51"/>
        <v>R</v>
      </c>
      <c r="G232">
        <f t="shared" si="44"/>
        <v>0</v>
      </c>
      <c r="H232" t="s">
        <v>59</v>
      </c>
      <c r="I232" t="str">
        <f t="shared" si="52"/>
        <v>CS</v>
      </c>
      <c r="J232" t="str">
        <f t="shared" si="53"/>
        <v>No</v>
      </c>
      <c r="K232">
        <f t="shared" si="45"/>
        <v>0</v>
      </c>
      <c r="L232" t="str">
        <f t="shared" si="54"/>
        <v>No</v>
      </c>
      <c r="M232">
        <f t="shared" si="46"/>
        <v>0</v>
      </c>
      <c r="N232" t="s">
        <v>462</v>
      </c>
      <c r="O232" t="s">
        <v>463</v>
      </c>
      <c r="P232" t="s">
        <v>254</v>
      </c>
      <c r="Q232" t="s">
        <v>74</v>
      </c>
    </row>
    <row r="233" spans="1:17" x14ac:dyDescent="0.3">
      <c r="A233" t="s">
        <v>472</v>
      </c>
      <c r="B233" t="s">
        <v>473</v>
      </c>
      <c r="C233" t="s">
        <v>398</v>
      </c>
      <c r="D233" t="s">
        <v>475</v>
      </c>
      <c r="E233" t="s">
        <v>172</v>
      </c>
      <c r="F233" t="str">
        <f t="shared" si="51"/>
        <v>CS</v>
      </c>
      <c r="G233">
        <f t="shared" si="44"/>
        <v>1</v>
      </c>
      <c r="H233" t="s">
        <v>10</v>
      </c>
      <c r="I233" t="str">
        <f t="shared" si="52"/>
        <v>R</v>
      </c>
      <c r="J233" t="str">
        <f t="shared" si="53"/>
        <v>No</v>
      </c>
      <c r="K233">
        <f t="shared" si="45"/>
        <v>0</v>
      </c>
      <c r="L233" t="str">
        <f t="shared" si="54"/>
        <v>No</v>
      </c>
      <c r="M233">
        <f t="shared" si="46"/>
        <v>0</v>
      </c>
      <c r="N233" t="s">
        <v>462</v>
      </c>
      <c r="O233" t="s">
        <v>463</v>
      </c>
      <c r="P233" t="s">
        <v>254</v>
      </c>
      <c r="Q233" t="s">
        <v>74</v>
      </c>
    </row>
    <row r="234" spans="1:17" x14ac:dyDescent="0.3">
      <c r="A234" t="s">
        <v>476</v>
      </c>
      <c r="B234" t="s">
        <v>477</v>
      </c>
      <c r="C234" t="s">
        <v>402</v>
      </c>
      <c r="D234" t="s">
        <v>478</v>
      </c>
      <c r="E234" t="s">
        <v>10</v>
      </c>
      <c r="F234" t="str">
        <f t="shared" si="51"/>
        <v>R</v>
      </c>
      <c r="G234">
        <f t="shared" si="44"/>
        <v>0</v>
      </c>
      <c r="H234" t="s">
        <v>10</v>
      </c>
      <c r="I234" t="str">
        <f t="shared" si="52"/>
        <v>R</v>
      </c>
      <c r="J234" t="str">
        <f t="shared" si="53"/>
        <v>Yes</v>
      </c>
      <c r="K234">
        <f t="shared" si="45"/>
        <v>1</v>
      </c>
      <c r="L234" t="str">
        <f t="shared" si="54"/>
        <v>Yes</v>
      </c>
      <c r="M234">
        <f t="shared" si="46"/>
        <v>1</v>
      </c>
      <c r="N234" t="s">
        <v>462</v>
      </c>
      <c r="O234" t="s">
        <v>463</v>
      </c>
      <c r="P234" t="s">
        <v>254</v>
      </c>
      <c r="Q234" t="s">
        <v>74</v>
      </c>
    </row>
    <row r="235" spans="1:17" x14ac:dyDescent="0.3">
      <c r="A235" t="s">
        <v>479</v>
      </c>
      <c r="B235" t="s">
        <v>480</v>
      </c>
      <c r="C235" t="s">
        <v>404</v>
      </c>
      <c r="D235" t="s">
        <v>481</v>
      </c>
      <c r="E235" t="s">
        <v>172</v>
      </c>
      <c r="F235" t="str">
        <f t="shared" si="51"/>
        <v>CS</v>
      </c>
      <c r="G235">
        <f t="shared" si="44"/>
        <v>1</v>
      </c>
      <c r="H235" t="s">
        <v>10</v>
      </c>
      <c r="I235" t="str">
        <f t="shared" si="52"/>
        <v>R</v>
      </c>
      <c r="J235" t="str">
        <f t="shared" si="53"/>
        <v>No</v>
      </c>
      <c r="K235">
        <f t="shared" si="45"/>
        <v>0</v>
      </c>
      <c r="L235" t="str">
        <f t="shared" si="54"/>
        <v>No</v>
      </c>
      <c r="M235">
        <f t="shared" si="46"/>
        <v>0</v>
      </c>
      <c r="N235" t="s">
        <v>462</v>
      </c>
      <c r="O235" t="s">
        <v>463</v>
      </c>
      <c r="P235" t="s">
        <v>254</v>
      </c>
      <c r="Q235" t="s">
        <v>74</v>
      </c>
    </row>
    <row r="236" spans="1:17" x14ac:dyDescent="0.3">
      <c r="A236" t="s">
        <v>479</v>
      </c>
      <c r="B236" t="s">
        <v>480</v>
      </c>
      <c r="C236" t="s">
        <v>406</v>
      </c>
      <c r="D236" t="s">
        <v>482</v>
      </c>
      <c r="E236" t="s">
        <v>44</v>
      </c>
      <c r="F236" t="str">
        <f t="shared" si="51"/>
        <v>CS</v>
      </c>
      <c r="G236">
        <f t="shared" si="44"/>
        <v>1</v>
      </c>
      <c r="H236" t="s">
        <v>25</v>
      </c>
      <c r="I236" t="str">
        <f t="shared" si="52"/>
        <v>CS</v>
      </c>
      <c r="J236" t="str">
        <f t="shared" si="53"/>
        <v>Yes</v>
      </c>
      <c r="K236">
        <f t="shared" si="45"/>
        <v>1</v>
      </c>
      <c r="L236" t="str">
        <f t="shared" si="54"/>
        <v>No</v>
      </c>
      <c r="M236">
        <f t="shared" si="46"/>
        <v>0</v>
      </c>
      <c r="N236" t="s">
        <v>462</v>
      </c>
      <c r="O236" t="s">
        <v>463</v>
      </c>
      <c r="P236" t="s">
        <v>254</v>
      </c>
      <c r="Q236" t="s">
        <v>74</v>
      </c>
    </row>
    <row r="237" spans="1:17" x14ac:dyDescent="0.3">
      <c r="A237" t="s">
        <v>410</v>
      </c>
      <c r="B237" t="s">
        <v>483</v>
      </c>
      <c r="C237" t="s">
        <v>410</v>
      </c>
      <c r="D237" t="s">
        <v>484</v>
      </c>
      <c r="E237" t="s">
        <v>59</v>
      </c>
      <c r="F237" t="str">
        <f t="shared" si="51"/>
        <v>CS</v>
      </c>
      <c r="G237">
        <f t="shared" si="44"/>
        <v>1</v>
      </c>
      <c r="H237" t="s">
        <v>10</v>
      </c>
      <c r="I237" t="str">
        <f t="shared" si="52"/>
        <v>R</v>
      </c>
      <c r="J237" t="str">
        <f t="shared" si="53"/>
        <v>No</v>
      </c>
      <c r="K237">
        <f t="shared" si="45"/>
        <v>0</v>
      </c>
      <c r="L237" t="str">
        <f t="shared" si="54"/>
        <v>No</v>
      </c>
      <c r="M237">
        <f t="shared" si="46"/>
        <v>0</v>
      </c>
      <c r="N237" t="s">
        <v>462</v>
      </c>
      <c r="O237" t="s">
        <v>463</v>
      </c>
      <c r="P237" t="s">
        <v>254</v>
      </c>
      <c r="Q237" t="s">
        <v>74</v>
      </c>
    </row>
    <row r="238" spans="1:17" x14ac:dyDescent="0.3">
      <c r="A238" t="s">
        <v>485</v>
      </c>
      <c r="B238" t="s">
        <v>486</v>
      </c>
      <c r="C238" t="s">
        <v>412</v>
      </c>
      <c r="D238" t="s">
        <v>487</v>
      </c>
      <c r="E238" t="s">
        <v>10</v>
      </c>
      <c r="F238" t="str">
        <f t="shared" si="51"/>
        <v>R</v>
      </c>
      <c r="G238">
        <f t="shared" si="44"/>
        <v>0</v>
      </c>
      <c r="H238" t="s">
        <v>10</v>
      </c>
      <c r="I238" t="str">
        <f t="shared" si="52"/>
        <v>R</v>
      </c>
      <c r="J238" t="str">
        <f t="shared" si="53"/>
        <v>Yes</v>
      </c>
      <c r="K238">
        <f t="shared" si="45"/>
        <v>1</v>
      </c>
      <c r="L238" t="str">
        <f t="shared" si="54"/>
        <v>Yes</v>
      </c>
      <c r="M238">
        <f t="shared" si="46"/>
        <v>1</v>
      </c>
      <c r="N238" t="s">
        <v>462</v>
      </c>
      <c r="O238" t="s">
        <v>463</v>
      </c>
      <c r="P238" t="s">
        <v>254</v>
      </c>
      <c r="Q238" t="s">
        <v>74</v>
      </c>
    </row>
    <row r="239" spans="1:17" x14ac:dyDescent="0.3">
      <c r="A239" t="s">
        <v>414</v>
      </c>
      <c r="B239" t="s">
        <v>488</v>
      </c>
      <c r="C239" t="s">
        <v>416</v>
      </c>
      <c r="D239" t="s">
        <v>489</v>
      </c>
      <c r="E239" t="s">
        <v>172</v>
      </c>
      <c r="F239" t="str">
        <f t="shared" si="51"/>
        <v>CS</v>
      </c>
      <c r="G239">
        <f t="shared" si="44"/>
        <v>1</v>
      </c>
      <c r="H239" t="s">
        <v>25</v>
      </c>
      <c r="I239" t="str">
        <f t="shared" si="52"/>
        <v>CS</v>
      </c>
      <c r="J239" t="str">
        <f t="shared" si="53"/>
        <v>Yes</v>
      </c>
      <c r="K239">
        <f t="shared" si="45"/>
        <v>1</v>
      </c>
      <c r="L239" t="str">
        <f t="shared" si="54"/>
        <v>No</v>
      </c>
      <c r="M239">
        <f t="shared" si="46"/>
        <v>0</v>
      </c>
      <c r="N239" t="s">
        <v>462</v>
      </c>
      <c r="O239" t="s">
        <v>463</v>
      </c>
      <c r="P239" t="s">
        <v>254</v>
      </c>
      <c r="Q239" t="s">
        <v>74</v>
      </c>
    </row>
    <row r="240" spans="1:17" x14ac:dyDescent="0.3">
      <c r="A240" t="s">
        <v>418</v>
      </c>
      <c r="B240" t="s">
        <v>490</v>
      </c>
      <c r="C240" t="s">
        <v>420</v>
      </c>
      <c r="D240" t="s">
        <v>491</v>
      </c>
      <c r="E240" t="s">
        <v>10</v>
      </c>
      <c r="F240" t="str">
        <f t="shared" si="51"/>
        <v>R</v>
      </c>
      <c r="G240">
        <f t="shared" si="44"/>
        <v>0</v>
      </c>
      <c r="H240" t="s">
        <v>10</v>
      </c>
      <c r="I240" t="str">
        <f t="shared" si="52"/>
        <v>R</v>
      </c>
      <c r="J240" t="str">
        <f t="shared" si="53"/>
        <v>Yes</v>
      </c>
      <c r="K240">
        <f t="shared" si="45"/>
        <v>1</v>
      </c>
      <c r="L240" t="str">
        <f t="shared" si="54"/>
        <v>Yes</v>
      </c>
      <c r="M240">
        <f t="shared" si="46"/>
        <v>1</v>
      </c>
      <c r="N240" t="s">
        <v>462</v>
      </c>
      <c r="O240" t="s">
        <v>463</v>
      </c>
      <c r="P240" t="s">
        <v>254</v>
      </c>
      <c r="Q240" t="s">
        <v>74</v>
      </c>
    </row>
    <row r="241" spans="1:17" x14ac:dyDescent="0.3">
      <c r="A241" t="s">
        <v>422</v>
      </c>
      <c r="B241" t="s">
        <v>492</v>
      </c>
      <c r="C241" t="s">
        <v>424</v>
      </c>
      <c r="D241" t="s">
        <v>493</v>
      </c>
      <c r="E241" t="s">
        <v>10</v>
      </c>
      <c r="F241" t="str">
        <f t="shared" si="51"/>
        <v>R</v>
      </c>
      <c r="G241">
        <f t="shared" si="44"/>
        <v>0</v>
      </c>
      <c r="H241" t="s">
        <v>10</v>
      </c>
      <c r="I241" t="str">
        <f t="shared" si="52"/>
        <v>R</v>
      </c>
      <c r="J241" t="str">
        <f t="shared" si="53"/>
        <v>Yes</v>
      </c>
      <c r="K241">
        <f t="shared" si="45"/>
        <v>1</v>
      </c>
      <c r="L241" t="str">
        <f t="shared" si="54"/>
        <v>Yes</v>
      </c>
      <c r="M241">
        <f t="shared" si="46"/>
        <v>1</v>
      </c>
      <c r="N241" t="s">
        <v>462</v>
      </c>
      <c r="O241" t="s">
        <v>463</v>
      </c>
      <c r="P241" t="s">
        <v>254</v>
      </c>
      <c r="Q241" t="s">
        <v>74</v>
      </c>
    </row>
    <row r="242" spans="1:17" x14ac:dyDescent="0.3">
      <c r="A242" t="s">
        <v>422</v>
      </c>
      <c r="B242" t="s">
        <v>492</v>
      </c>
      <c r="C242" t="s">
        <v>426</v>
      </c>
      <c r="D242" t="s">
        <v>494</v>
      </c>
      <c r="E242" t="s">
        <v>172</v>
      </c>
      <c r="F242" t="str">
        <f t="shared" si="51"/>
        <v>CS</v>
      </c>
      <c r="G242">
        <f t="shared" si="44"/>
        <v>1</v>
      </c>
      <c r="H242" t="s">
        <v>10</v>
      </c>
      <c r="I242" t="str">
        <f t="shared" si="52"/>
        <v>R</v>
      </c>
      <c r="J242" t="str">
        <f t="shared" si="53"/>
        <v>No</v>
      </c>
      <c r="K242">
        <f t="shared" si="45"/>
        <v>0</v>
      </c>
      <c r="L242" t="str">
        <f t="shared" si="54"/>
        <v>No</v>
      </c>
      <c r="M242">
        <f t="shared" si="46"/>
        <v>0</v>
      </c>
      <c r="N242" t="s">
        <v>462</v>
      </c>
      <c r="O242" t="s">
        <v>463</v>
      </c>
      <c r="P242" t="s">
        <v>254</v>
      </c>
      <c r="Q242" t="s">
        <v>74</v>
      </c>
    </row>
    <row r="243" spans="1:17" x14ac:dyDescent="0.3">
      <c r="A243" t="s">
        <v>427</v>
      </c>
      <c r="B243" t="s">
        <v>495</v>
      </c>
      <c r="C243" t="s">
        <v>429</v>
      </c>
      <c r="D243" t="s">
        <v>496</v>
      </c>
      <c r="E243" t="s">
        <v>10</v>
      </c>
      <c r="F243" t="str">
        <f t="shared" si="51"/>
        <v>R</v>
      </c>
      <c r="G243">
        <f t="shared" si="44"/>
        <v>0</v>
      </c>
      <c r="H243" t="s">
        <v>10</v>
      </c>
      <c r="I243" t="str">
        <f t="shared" si="52"/>
        <v>R</v>
      </c>
      <c r="J243" t="str">
        <f t="shared" si="53"/>
        <v>Yes</v>
      </c>
      <c r="K243">
        <f t="shared" si="45"/>
        <v>1</v>
      </c>
      <c r="L243" t="str">
        <f t="shared" si="54"/>
        <v>Yes</v>
      </c>
      <c r="M243">
        <f t="shared" si="46"/>
        <v>1</v>
      </c>
      <c r="N243" t="s">
        <v>462</v>
      </c>
      <c r="O243" t="s">
        <v>463</v>
      </c>
      <c r="P243" t="s">
        <v>254</v>
      </c>
      <c r="Q243" t="s">
        <v>74</v>
      </c>
    </row>
    <row r="244" spans="1:17" x14ac:dyDescent="0.3">
      <c r="A244" t="s">
        <v>427</v>
      </c>
      <c r="B244" t="s">
        <v>495</v>
      </c>
      <c r="C244" t="s">
        <v>431</v>
      </c>
      <c r="D244" t="s">
        <v>497</v>
      </c>
      <c r="E244" t="s">
        <v>10</v>
      </c>
      <c r="F244" t="str">
        <f t="shared" si="51"/>
        <v>R</v>
      </c>
      <c r="G244">
        <f t="shared" si="44"/>
        <v>0</v>
      </c>
      <c r="H244" t="s">
        <v>59</v>
      </c>
      <c r="I244" t="str">
        <f t="shared" si="52"/>
        <v>CS</v>
      </c>
      <c r="J244" t="str">
        <f t="shared" si="53"/>
        <v>No</v>
      </c>
      <c r="K244">
        <f t="shared" si="45"/>
        <v>0</v>
      </c>
      <c r="L244" t="str">
        <f t="shared" si="54"/>
        <v>No</v>
      </c>
      <c r="M244">
        <f t="shared" si="46"/>
        <v>0</v>
      </c>
      <c r="N244" t="s">
        <v>462</v>
      </c>
      <c r="O244" t="s">
        <v>463</v>
      </c>
      <c r="P244" t="s">
        <v>254</v>
      </c>
      <c r="Q244" t="s">
        <v>74</v>
      </c>
    </row>
    <row r="245" spans="1:17" x14ac:dyDescent="0.3">
      <c r="A245" t="s">
        <v>433</v>
      </c>
      <c r="B245" t="s">
        <v>498</v>
      </c>
      <c r="C245" t="s">
        <v>435</v>
      </c>
      <c r="D245" t="s">
        <v>499</v>
      </c>
      <c r="E245" t="s">
        <v>10</v>
      </c>
      <c r="F245" t="str">
        <f t="shared" si="51"/>
        <v>R</v>
      </c>
      <c r="G245">
        <f t="shared" si="44"/>
        <v>0</v>
      </c>
      <c r="H245" t="s">
        <v>172</v>
      </c>
      <c r="I245" t="str">
        <f t="shared" si="52"/>
        <v>CS</v>
      </c>
      <c r="J245" t="str">
        <f t="shared" si="53"/>
        <v>No</v>
      </c>
      <c r="K245">
        <f t="shared" si="45"/>
        <v>0</v>
      </c>
      <c r="L245" t="str">
        <f t="shared" si="54"/>
        <v>No</v>
      </c>
      <c r="M245">
        <f t="shared" si="46"/>
        <v>0</v>
      </c>
      <c r="N245" t="s">
        <v>462</v>
      </c>
      <c r="O245" t="s">
        <v>463</v>
      </c>
      <c r="P245" t="s">
        <v>254</v>
      </c>
      <c r="Q245" t="s">
        <v>74</v>
      </c>
    </row>
    <row r="246" spans="1:17" x14ac:dyDescent="0.3">
      <c r="A246" t="s">
        <v>433</v>
      </c>
      <c r="B246" t="s">
        <v>498</v>
      </c>
      <c r="C246" t="s">
        <v>436</v>
      </c>
      <c r="D246" t="s">
        <v>500</v>
      </c>
      <c r="E246" t="s">
        <v>10</v>
      </c>
      <c r="F246" t="str">
        <f t="shared" si="51"/>
        <v>R</v>
      </c>
      <c r="G246">
        <f t="shared" si="44"/>
        <v>0</v>
      </c>
      <c r="H246" t="s">
        <v>25</v>
      </c>
      <c r="I246" t="str">
        <f t="shared" si="52"/>
        <v>CS</v>
      </c>
      <c r="J246" t="str">
        <f t="shared" si="53"/>
        <v>No</v>
      </c>
      <c r="K246">
        <f t="shared" si="45"/>
        <v>0</v>
      </c>
      <c r="L246" t="str">
        <f t="shared" si="54"/>
        <v>No</v>
      </c>
      <c r="M246">
        <f t="shared" si="46"/>
        <v>0</v>
      </c>
      <c r="N246" t="s">
        <v>462</v>
      </c>
      <c r="O246" t="s">
        <v>463</v>
      </c>
      <c r="P246" t="s">
        <v>254</v>
      </c>
      <c r="Q246" t="s">
        <v>74</v>
      </c>
    </row>
    <row r="247" spans="1:17" x14ac:dyDescent="0.3">
      <c r="A247" t="s">
        <v>438</v>
      </c>
      <c r="B247" t="s">
        <v>501</v>
      </c>
      <c r="C247" t="s">
        <v>440</v>
      </c>
      <c r="D247" t="s">
        <v>502</v>
      </c>
      <c r="E247" t="s">
        <v>10</v>
      </c>
      <c r="F247" t="str">
        <f t="shared" si="51"/>
        <v>R</v>
      </c>
      <c r="G247">
        <f t="shared" si="44"/>
        <v>0</v>
      </c>
      <c r="H247" t="s">
        <v>44</v>
      </c>
      <c r="I247" t="str">
        <f t="shared" si="52"/>
        <v>CS</v>
      </c>
      <c r="J247" t="str">
        <f t="shared" si="53"/>
        <v>No</v>
      </c>
      <c r="K247">
        <f t="shared" si="45"/>
        <v>0</v>
      </c>
      <c r="L247" t="str">
        <f t="shared" si="54"/>
        <v>No</v>
      </c>
      <c r="M247">
        <f t="shared" si="46"/>
        <v>0</v>
      </c>
      <c r="N247" t="s">
        <v>462</v>
      </c>
      <c r="O247" t="s">
        <v>463</v>
      </c>
      <c r="P247" t="s">
        <v>254</v>
      </c>
      <c r="Q247" t="s">
        <v>74</v>
      </c>
    </row>
    <row r="248" spans="1:17" x14ac:dyDescent="0.3">
      <c r="A248" t="s">
        <v>442</v>
      </c>
      <c r="B248" t="s">
        <v>503</v>
      </c>
      <c r="C248" t="s">
        <v>444</v>
      </c>
      <c r="D248" t="s">
        <v>504</v>
      </c>
      <c r="E248" t="s">
        <v>172</v>
      </c>
      <c r="F248" t="str">
        <f t="shared" si="51"/>
        <v>CS</v>
      </c>
      <c r="G248">
        <f t="shared" si="44"/>
        <v>1</v>
      </c>
      <c r="H248" t="s">
        <v>25</v>
      </c>
      <c r="I248" t="str">
        <f t="shared" si="52"/>
        <v>CS</v>
      </c>
      <c r="J248" t="str">
        <f t="shared" si="53"/>
        <v>Yes</v>
      </c>
      <c r="K248">
        <f t="shared" si="45"/>
        <v>1</v>
      </c>
      <c r="L248" t="str">
        <f t="shared" si="54"/>
        <v>No</v>
      </c>
      <c r="M248">
        <f t="shared" si="46"/>
        <v>0</v>
      </c>
      <c r="N248" t="s">
        <v>462</v>
      </c>
      <c r="O248" t="s">
        <v>463</v>
      </c>
      <c r="P248" t="s">
        <v>254</v>
      </c>
      <c r="Q248" t="s">
        <v>74</v>
      </c>
    </row>
    <row r="249" spans="1:17" x14ac:dyDescent="0.3">
      <c r="A249" t="s">
        <v>446</v>
      </c>
      <c r="B249" t="s">
        <v>505</v>
      </c>
      <c r="C249" t="s">
        <v>448</v>
      </c>
      <c r="D249" t="s">
        <v>506</v>
      </c>
      <c r="E249" t="s">
        <v>10</v>
      </c>
      <c r="F249" t="str">
        <f t="shared" si="51"/>
        <v>R</v>
      </c>
      <c r="G249">
        <f t="shared" si="44"/>
        <v>0</v>
      </c>
      <c r="H249" t="s">
        <v>10</v>
      </c>
      <c r="I249" t="str">
        <f t="shared" si="52"/>
        <v>R</v>
      </c>
      <c r="J249" t="str">
        <f t="shared" si="53"/>
        <v>Yes</v>
      </c>
      <c r="K249">
        <f t="shared" si="45"/>
        <v>1</v>
      </c>
      <c r="L249" t="str">
        <f t="shared" si="54"/>
        <v>Yes</v>
      </c>
      <c r="M249">
        <f t="shared" si="46"/>
        <v>1</v>
      </c>
      <c r="N249" t="s">
        <v>462</v>
      </c>
      <c r="O249" t="s">
        <v>463</v>
      </c>
      <c r="P249" t="s">
        <v>254</v>
      </c>
      <c r="Q249" t="s">
        <v>74</v>
      </c>
    </row>
    <row r="250" spans="1:17" x14ac:dyDescent="0.3">
      <c r="A250" t="s">
        <v>450</v>
      </c>
      <c r="B250" t="s">
        <v>507</v>
      </c>
      <c r="C250" t="s">
        <v>452</v>
      </c>
      <c r="D250" t="s">
        <v>508</v>
      </c>
      <c r="E250" t="s">
        <v>10</v>
      </c>
      <c r="F250" t="str">
        <f t="shared" si="51"/>
        <v>R</v>
      </c>
      <c r="G250">
        <f t="shared" si="44"/>
        <v>0</v>
      </c>
      <c r="H250" t="s">
        <v>25</v>
      </c>
      <c r="I250" t="str">
        <f t="shared" si="52"/>
        <v>CS</v>
      </c>
      <c r="J250" t="str">
        <f t="shared" si="53"/>
        <v>No</v>
      </c>
      <c r="K250">
        <f t="shared" si="45"/>
        <v>0</v>
      </c>
      <c r="L250" t="str">
        <f t="shared" si="54"/>
        <v>No</v>
      </c>
      <c r="M250">
        <f t="shared" si="46"/>
        <v>0</v>
      </c>
      <c r="N250" t="s">
        <v>462</v>
      </c>
      <c r="O250" t="s">
        <v>463</v>
      </c>
      <c r="P250" t="s">
        <v>254</v>
      </c>
      <c r="Q250" t="s">
        <v>74</v>
      </c>
    </row>
    <row r="251" spans="1:17" x14ac:dyDescent="0.3">
      <c r="A251" t="s">
        <v>454</v>
      </c>
      <c r="B251" t="s">
        <v>509</v>
      </c>
      <c r="C251" t="s">
        <v>456</v>
      </c>
      <c r="D251" t="s">
        <v>510</v>
      </c>
      <c r="E251" t="s">
        <v>10</v>
      </c>
      <c r="F251" t="str">
        <f t="shared" si="51"/>
        <v>R</v>
      </c>
      <c r="G251">
        <f t="shared" si="44"/>
        <v>0</v>
      </c>
      <c r="H251" t="s">
        <v>144</v>
      </c>
      <c r="I251" t="s">
        <v>144</v>
      </c>
      <c r="J251" t="str">
        <f t="shared" si="53"/>
        <v>No</v>
      </c>
      <c r="K251">
        <f t="shared" si="45"/>
        <v>0</v>
      </c>
      <c r="L251" t="str">
        <f t="shared" si="54"/>
        <v>No</v>
      </c>
      <c r="M251">
        <f t="shared" si="46"/>
        <v>0</v>
      </c>
      <c r="N251" t="s">
        <v>462</v>
      </c>
      <c r="O251" t="s">
        <v>463</v>
      </c>
      <c r="P251" t="s">
        <v>254</v>
      </c>
      <c r="Q251" t="s">
        <v>74</v>
      </c>
    </row>
    <row r="252" spans="1:17" x14ac:dyDescent="0.3">
      <c r="A252" t="s">
        <v>458</v>
      </c>
      <c r="B252" t="s">
        <v>511</v>
      </c>
      <c r="C252" t="s">
        <v>460</v>
      </c>
      <c r="D252" t="s">
        <v>512</v>
      </c>
      <c r="E252" t="s">
        <v>10</v>
      </c>
      <c r="F252" t="str">
        <f t="shared" si="51"/>
        <v>R</v>
      </c>
      <c r="G252">
        <f t="shared" si="44"/>
        <v>0</v>
      </c>
      <c r="H252" t="s">
        <v>25</v>
      </c>
      <c r="I252" t="str">
        <f t="shared" si="52"/>
        <v>CS</v>
      </c>
      <c r="J252" t="str">
        <f t="shared" si="53"/>
        <v>No</v>
      </c>
      <c r="K252">
        <f t="shared" si="45"/>
        <v>0</v>
      </c>
      <c r="L252" t="str">
        <f t="shared" si="54"/>
        <v>No</v>
      </c>
      <c r="M252">
        <f t="shared" si="46"/>
        <v>0</v>
      </c>
      <c r="N252" t="s">
        <v>462</v>
      </c>
      <c r="O252" t="s">
        <v>463</v>
      </c>
      <c r="P252" t="s">
        <v>254</v>
      </c>
      <c r="Q252" t="s">
        <v>74</v>
      </c>
    </row>
    <row r="253" spans="1:17" x14ac:dyDescent="0.3">
      <c r="A253" t="s">
        <v>382</v>
      </c>
      <c r="B253" t="s">
        <v>513</v>
      </c>
      <c r="C253" t="s">
        <v>384</v>
      </c>
      <c r="D253" t="s">
        <v>514</v>
      </c>
      <c r="E253" t="s">
        <v>59</v>
      </c>
      <c r="F253" t="str">
        <f>IF(E253="R", "R", "CS")</f>
        <v>CS</v>
      </c>
      <c r="G253">
        <f t="shared" si="44"/>
        <v>1</v>
      </c>
      <c r="H253" t="s">
        <v>25</v>
      </c>
      <c r="I253" t="str">
        <f>IF(H253="R", "R", "CS")</f>
        <v>CS</v>
      </c>
      <c r="J253" t="str">
        <f>IF(F253=I253, "Yes", "No")</f>
        <v>Yes</v>
      </c>
      <c r="K253">
        <f t="shared" si="45"/>
        <v>1</v>
      </c>
      <c r="L253" t="str">
        <f>IF(E253=H253, "Yes", "No")</f>
        <v>No</v>
      </c>
      <c r="M253">
        <f t="shared" si="46"/>
        <v>0</v>
      </c>
      <c r="N253" t="s">
        <v>462</v>
      </c>
      <c r="O253" t="s">
        <v>463</v>
      </c>
      <c r="P253" t="s">
        <v>254</v>
      </c>
      <c r="Q253" t="s">
        <v>95</v>
      </c>
    </row>
    <row r="254" spans="1:17" x14ac:dyDescent="0.3">
      <c r="A254" t="s">
        <v>386</v>
      </c>
      <c r="B254" t="s">
        <v>515</v>
      </c>
      <c r="C254" t="s">
        <v>388</v>
      </c>
      <c r="D254" t="s">
        <v>516</v>
      </c>
      <c r="E254" t="s">
        <v>59</v>
      </c>
      <c r="F254" t="str">
        <f t="shared" ref="F254:F277" si="55">IF(E254="R", "R", "CS")</f>
        <v>CS</v>
      </c>
      <c r="G254">
        <f t="shared" si="44"/>
        <v>1</v>
      </c>
      <c r="H254" t="s">
        <v>10</v>
      </c>
      <c r="I254" t="str">
        <f t="shared" ref="I254:I277" si="56">IF(H254="R", "R", "CS")</f>
        <v>R</v>
      </c>
      <c r="J254" t="str">
        <f t="shared" ref="J254:J277" si="57">IF(F254=I254, "Yes", "No")</f>
        <v>No</v>
      </c>
      <c r="K254">
        <f t="shared" si="45"/>
        <v>0</v>
      </c>
      <c r="L254" t="str">
        <f t="shared" ref="L254:L277" si="58">IF(E254=H254, "Yes", "No")</f>
        <v>No</v>
      </c>
      <c r="M254">
        <f t="shared" si="46"/>
        <v>0</v>
      </c>
      <c r="N254" t="s">
        <v>462</v>
      </c>
      <c r="O254" t="s">
        <v>463</v>
      </c>
      <c r="P254" t="s">
        <v>254</v>
      </c>
      <c r="Q254" t="s">
        <v>95</v>
      </c>
    </row>
    <row r="255" spans="1:17" x14ac:dyDescent="0.3">
      <c r="A255" t="s">
        <v>386</v>
      </c>
      <c r="B255" t="s">
        <v>515</v>
      </c>
      <c r="C255" t="s">
        <v>390</v>
      </c>
      <c r="D255" t="s">
        <v>517</v>
      </c>
      <c r="E255" t="s">
        <v>10</v>
      </c>
      <c r="F255" t="str">
        <f t="shared" si="55"/>
        <v>R</v>
      </c>
      <c r="G255">
        <f t="shared" si="44"/>
        <v>0</v>
      </c>
      <c r="H255" t="s">
        <v>10</v>
      </c>
      <c r="I255" t="str">
        <f t="shared" si="56"/>
        <v>R</v>
      </c>
      <c r="J255" t="str">
        <f t="shared" si="57"/>
        <v>Yes</v>
      </c>
      <c r="K255">
        <f t="shared" si="45"/>
        <v>1</v>
      </c>
      <c r="L255" t="str">
        <f t="shared" si="58"/>
        <v>Yes</v>
      </c>
      <c r="M255">
        <f t="shared" si="46"/>
        <v>1</v>
      </c>
      <c r="N255" t="s">
        <v>462</v>
      </c>
      <c r="O255" t="s">
        <v>463</v>
      </c>
      <c r="P255" t="s">
        <v>254</v>
      </c>
      <c r="Q255" t="s">
        <v>95</v>
      </c>
    </row>
    <row r="256" spans="1:17" x14ac:dyDescent="0.3">
      <c r="A256" t="s">
        <v>469</v>
      </c>
      <c r="B256" t="s">
        <v>518</v>
      </c>
      <c r="C256" t="s">
        <v>394</v>
      </c>
      <c r="D256" t="s">
        <v>519</v>
      </c>
      <c r="E256" t="s">
        <v>172</v>
      </c>
      <c r="F256" t="str">
        <f t="shared" si="55"/>
        <v>CS</v>
      </c>
      <c r="G256">
        <f t="shared" si="44"/>
        <v>1</v>
      </c>
      <c r="H256" t="s">
        <v>59</v>
      </c>
      <c r="I256" t="str">
        <f t="shared" si="56"/>
        <v>CS</v>
      </c>
      <c r="J256" t="str">
        <f t="shared" si="57"/>
        <v>Yes</v>
      </c>
      <c r="K256">
        <f t="shared" si="45"/>
        <v>1</v>
      </c>
      <c r="L256" t="str">
        <f t="shared" si="58"/>
        <v>No</v>
      </c>
      <c r="M256">
        <f t="shared" si="46"/>
        <v>0</v>
      </c>
      <c r="N256" t="s">
        <v>462</v>
      </c>
      <c r="O256" t="s">
        <v>463</v>
      </c>
      <c r="P256" t="s">
        <v>254</v>
      </c>
      <c r="Q256" t="s">
        <v>95</v>
      </c>
    </row>
    <row r="257" spans="1:17" x14ac:dyDescent="0.3">
      <c r="A257" t="s">
        <v>472</v>
      </c>
      <c r="B257" t="s">
        <v>520</v>
      </c>
      <c r="C257" t="s">
        <v>396</v>
      </c>
      <c r="D257" t="s">
        <v>521</v>
      </c>
      <c r="E257" t="s">
        <v>10</v>
      </c>
      <c r="F257" t="str">
        <f t="shared" si="55"/>
        <v>R</v>
      </c>
      <c r="G257">
        <f t="shared" si="44"/>
        <v>0</v>
      </c>
      <c r="H257" t="s">
        <v>44</v>
      </c>
      <c r="I257" t="str">
        <f t="shared" si="56"/>
        <v>CS</v>
      </c>
      <c r="J257" t="str">
        <f t="shared" si="57"/>
        <v>No</v>
      </c>
      <c r="K257">
        <f t="shared" si="45"/>
        <v>0</v>
      </c>
      <c r="L257" t="str">
        <f t="shared" si="58"/>
        <v>No</v>
      </c>
      <c r="M257">
        <f t="shared" si="46"/>
        <v>0</v>
      </c>
      <c r="N257" t="s">
        <v>462</v>
      </c>
      <c r="O257" t="s">
        <v>463</v>
      </c>
      <c r="P257" t="s">
        <v>254</v>
      </c>
      <c r="Q257" t="s">
        <v>95</v>
      </c>
    </row>
    <row r="258" spans="1:17" x14ac:dyDescent="0.3">
      <c r="A258" t="s">
        <v>472</v>
      </c>
      <c r="B258" t="s">
        <v>520</v>
      </c>
      <c r="C258" t="s">
        <v>398</v>
      </c>
      <c r="D258" t="s">
        <v>522</v>
      </c>
      <c r="E258" t="s">
        <v>59</v>
      </c>
      <c r="F258" t="str">
        <f t="shared" si="55"/>
        <v>CS</v>
      </c>
      <c r="G258">
        <f t="shared" si="44"/>
        <v>1</v>
      </c>
      <c r="H258" t="s">
        <v>10</v>
      </c>
      <c r="I258" t="str">
        <f t="shared" si="56"/>
        <v>R</v>
      </c>
      <c r="J258" t="str">
        <f t="shared" si="57"/>
        <v>No</v>
      </c>
      <c r="K258">
        <f t="shared" si="45"/>
        <v>0</v>
      </c>
      <c r="L258" t="str">
        <f t="shared" si="58"/>
        <v>No</v>
      </c>
      <c r="M258">
        <f t="shared" si="46"/>
        <v>0</v>
      </c>
      <c r="N258" t="s">
        <v>462</v>
      </c>
      <c r="O258" t="s">
        <v>463</v>
      </c>
      <c r="P258" t="s">
        <v>254</v>
      </c>
      <c r="Q258" t="s">
        <v>95</v>
      </c>
    </row>
    <row r="259" spans="1:17" x14ac:dyDescent="0.3">
      <c r="A259" t="s">
        <v>476</v>
      </c>
      <c r="B259" t="s">
        <v>523</v>
      </c>
      <c r="C259" t="s">
        <v>402</v>
      </c>
      <c r="D259" t="s">
        <v>524</v>
      </c>
      <c r="E259" t="s">
        <v>59</v>
      </c>
      <c r="F259" t="str">
        <f t="shared" si="55"/>
        <v>CS</v>
      </c>
      <c r="G259">
        <f t="shared" ref="G259:G322" si="59">IF(F259="R",0,(IF(F259="CS",1,"HELP")))</f>
        <v>1</v>
      </c>
      <c r="H259" t="s">
        <v>59</v>
      </c>
      <c r="I259" t="str">
        <f t="shared" si="56"/>
        <v>CS</v>
      </c>
      <c r="J259" t="str">
        <f t="shared" si="57"/>
        <v>Yes</v>
      </c>
      <c r="K259">
        <f t="shared" ref="K259:K322" si="60">IF(J259="Yes", 1, 0)</f>
        <v>1</v>
      </c>
      <c r="L259" t="str">
        <f t="shared" si="58"/>
        <v>Yes</v>
      </c>
      <c r="M259">
        <f t="shared" ref="M259:M322" si="61">IF(L259="Yes", 1, 0)</f>
        <v>1</v>
      </c>
      <c r="N259" t="s">
        <v>462</v>
      </c>
      <c r="O259" t="s">
        <v>463</v>
      </c>
      <c r="P259" t="s">
        <v>254</v>
      </c>
      <c r="Q259" t="s">
        <v>95</v>
      </c>
    </row>
    <row r="260" spans="1:17" x14ac:dyDescent="0.3">
      <c r="A260" t="s">
        <v>479</v>
      </c>
      <c r="B260" t="s">
        <v>525</v>
      </c>
      <c r="C260" t="s">
        <v>404</v>
      </c>
      <c r="D260" t="s">
        <v>526</v>
      </c>
      <c r="E260" t="s">
        <v>59</v>
      </c>
      <c r="F260" t="str">
        <f t="shared" si="55"/>
        <v>CS</v>
      </c>
      <c r="G260">
        <f t="shared" si="59"/>
        <v>1</v>
      </c>
      <c r="H260" t="s">
        <v>10</v>
      </c>
      <c r="I260" t="str">
        <f t="shared" si="56"/>
        <v>R</v>
      </c>
      <c r="J260" t="str">
        <f t="shared" si="57"/>
        <v>No</v>
      </c>
      <c r="K260">
        <f t="shared" si="60"/>
        <v>0</v>
      </c>
      <c r="L260" t="str">
        <f t="shared" si="58"/>
        <v>No</v>
      </c>
      <c r="M260">
        <f t="shared" si="61"/>
        <v>0</v>
      </c>
      <c r="N260" t="s">
        <v>462</v>
      </c>
      <c r="O260" t="s">
        <v>463</v>
      </c>
      <c r="P260" t="s">
        <v>254</v>
      </c>
      <c r="Q260" t="s">
        <v>95</v>
      </c>
    </row>
    <row r="261" spans="1:17" x14ac:dyDescent="0.3">
      <c r="A261" t="s">
        <v>479</v>
      </c>
      <c r="B261" t="s">
        <v>525</v>
      </c>
      <c r="C261" t="s">
        <v>406</v>
      </c>
      <c r="D261" t="s">
        <v>527</v>
      </c>
      <c r="E261" t="s">
        <v>172</v>
      </c>
      <c r="F261" t="str">
        <f t="shared" si="55"/>
        <v>CS</v>
      </c>
      <c r="G261">
        <f t="shared" si="59"/>
        <v>1</v>
      </c>
      <c r="H261" t="s">
        <v>10</v>
      </c>
      <c r="I261" t="str">
        <f t="shared" si="56"/>
        <v>R</v>
      </c>
      <c r="J261" t="str">
        <f t="shared" si="57"/>
        <v>No</v>
      </c>
      <c r="K261">
        <f t="shared" si="60"/>
        <v>0</v>
      </c>
      <c r="L261" t="str">
        <f t="shared" si="58"/>
        <v>No</v>
      </c>
      <c r="M261">
        <f t="shared" si="61"/>
        <v>0</v>
      </c>
      <c r="N261" t="s">
        <v>462</v>
      </c>
      <c r="O261" t="s">
        <v>463</v>
      </c>
      <c r="P261" t="s">
        <v>254</v>
      </c>
      <c r="Q261" t="s">
        <v>95</v>
      </c>
    </row>
    <row r="262" spans="1:17" x14ac:dyDescent="0.3">
      <c r="A262" t="s">
        <v>410</v>
      </c>
      <c r="B262" t="s">
        <v>528</v>
      </c>
      <c r="C262" t="s">
        <v>410</v>
      </c>
      <c r="D262" t="s">
        <v>529</v>
      </c>
      <c r="E262" t="s">
        <v>59</v>
      </c>
      <c r="F262" t="str">
        <f t="shared" si="55"/>
        <v>CS</v>
      </c>
      <c r="G262">
        <f t="shared" si="59"/>
        <v>1</v>
      </c>
      <c r="H262" t="s">
        <v>25</v>
      </c>
      <c r="I262" t="str">
        <f t="shared" si="56"/>
        <v>CS</v>
      </c>
      <c r="J262" t="str">
        <f t="shared" si="57"/>
        <v>Yes</v>
      </c>
      <c r="K262">
        <f t="shared" si="60"/>
        <v>1</v>
      </c>
      <c r="L262" t="str">
        <f t="shared" si="58"/>
        <v>No</v>
      </c>
      <c r="M262">
        <f t="shared" si="61"/>
        <v>0</v>
      </c>
      <c r="N262" t="s">
        <v>462</v>
      </c>
      <c r="O262" t="s">
        <v>463</v>
      </c>
      <c r="P262" t="s">
        <v>254</v>
      </c>
      <c r="Q262" t="s">
        <v>95</v>
      </c>
    </row>
    <row r="263" spans="1:17" x14ac:dyDescent="0.3">
      <c r="A263" t="s">
        <v>485</v>
      </c>
      <c r="B263" t="s">
        <v>530</v>
      </c>
      <c r="C263" t="s">
        <v>412</v>
      </c>
      <c r="D263" t="s">
        <v>531</v>
      </c>
      <c r="E263" t="s">
        <v>59</v>
      </c>
      <c r="F263" t="str">
        <f t="shared" si="55"/>
        <v>CS</v>
      </c>
      <c r="G263">
        <f t="shared" si="59"/>
        <v>1</v>
      </c>
      <c r="H263" t="s">
        <v>10</v>
      </c>
      <c r="I263" t="str">
        <f t="shared" si="56"/>
        <v>R</v>
      </c>
      <c r="J263" t="str">
        <f t="shared" si="57"/>
        <v>No</v>
      </c>
      <c r="K263">
        <f t="shared" si="60"/>
        <v>0</v>
      </c>
      <c r="L263" t="str">
        <f t="shared" si="58"/>
        <v>No</v>
      </c>
      <c r="M263">
        <f t="shared" si="61"/>
        <v>0</v>
      </c>
      <c r="N263" t="s">
        <v>462</v>
      </c>
      <c r="O263" t="s">
        <v>463</v>
      </c>
      <c r="P263" t="s">
        <v>254</v>
      </c>
      <c r="Q263" t="s">
        <v>95</v>
      </c>
    </row>
    <row r="264" spans="1:17" x14ac:dyDescent="0.3">
      <c r="A264" t="s">
        <v>414</v>
      </c>
      <c r="B264" t="s">
        <v>532</v>
      </c>
      <c r="C264" t="s">
        <v>416</v>
      </c>
      <c r="D264" t="s">
        <v>533</v>
      </c>
      <c r="E264" t="s">
        <v>44</v>
      </c>
      <c r="F264" t="str">
        <f t="shared" si="55"/>
        <v>CS</v>
      </c>
      <c r="G264">
        <f t="shared" si="59"/>
        <v>1</v>
      </c>
      <c r="H264" t="s">
        <v>144</v>
      </c>
      <c r="I264" t="str">
        <f t="shared" si="56"/>
        <v>CS</v>
      </c>
      <c r="J264" t="str">
        <f t="shared" si="57"/>
        <v>Yes</v>
      </c>
      <c r="K264">
        <f t="shared" si="60"/>
        <v>1</v>
      </c>
      <c r="L264" t="str">
        <f t="shared" si="58"/>
        <v>No</v>
      </c>
      <c r="M264">
        <f t="shared" si="61"/>
        <v>0</v>
      </c>
      <c r="N264" t="s">
        <v>462</v>
      </c>
      <c r="O264" t="s">
        <v>463</v>
      </c>
      <c r="P264" t="s">
        <v>254</v>
      </c>
      <c r="Q264" t="s">
        <v>95</v>
      </c>
    </row>
    <row r="265" spans="1:17" x14ac:dyDescent="0.3">
      <c r="A265" t="s">
        <v>418</v>
      </c>
      <c r="B265" t="s">
        <v>534</v>
      </c>
      <c r="C265" t="s">
        <v>420</v>
      </c>
      <c r="D265" t="s">
        <v>535</v>
      </c>
      <c r="E265" t="s">
        <v>59</v>
      </c>
      <c r="F265" t="str">
        <f t="shared" si="55"/>
        <v>CS</v>
      </c>
      <c r="G265">
        <f t="shared" si="59"/>
        <v>1</v>
      </c>
      <c r="H265" t="s">
        <v>10</v>
      </c>
      <c r="I265" t="str">
        <f t="shared" si="56"/>
        <v>R</v>
      </c>
      <c r="J265" t="str">
        <f t="shared" si="57"/>
        <v>No</v>
      </c>
      <c r="K265">
        <f t="shared" si="60"/>
        <v>0</v>
      </c>
      <c r="L265" t="str">
        <f t="shared" si="58"/>
        <v>No</v>
      </c>
      <c r="M265">
        <f t="shared" si="61"/>
        <v>0</v>
      </c>
      <c r="N265" t="s">
        <v>462</v>
      </c>
      <c r="O265" t="s">
        <v>463</v>
      </c>
      <c r="P265" t="s">
        <v>254</v>
      </c>
      <c r="Q265" t="s">
        <v>95</v>
      </c>
    </row>
    <row r="266" spans="1:17" x14ac:dyDescent="0.3">
      <c r="A266" t="s">
        <v>422</v>
      </c>
      <c r="B266" t="s">
        <v>536</v>
      </c>
      <c r="C266" t="s">
        <v>424</v>
      </c>
      <c r="D266" t="s">
        <v>537</v>
      </c>
      <c r="E266" t="s">
        <v>10</v>
      </c>
      <c r="F266" t="str">
        <f t="shared" si="55"/>
        <v>R</v>
      </c>
      <c r="G266">
        <f t="shared" si="59"/>
        <v>0</v>
      </c>
      <c r="H266" t="s">
        <v>10</v>
      </c>
      <c r="I266" t="str">
        <f t="shared" si="56"/>
        <v>R</v>
      </c>
      <c r="J266" t="str">
        <f t="shared" si="57"/>
        <v>Yes</v>
      </c>
      <c r="K266">
        <f t="shared" si="60"/>
        <v>1</v>
      </c>
      <c r="L266" t="str">
        <f t="shared" si="58"/>
        <v>Yes</v>
      </c>
      <c r="M266">
        <f t="shared" si="61"/>
        <v>1</v>
      </c>
      <c r="N266" t="s">
        <v>462</v>
      </c>
      <c r="O266" t="s">
        <v>463</v>
      </c>
      <c r="P266" t="s">
        <v>254</v>
      </c>
      <c r="Q266" t="s">
        <v>95</v>
      </c>
    </row>
    <row r="267" spans="1:17" x14ac:dyDescent="0.3">
      <c r="A267" t="s">
        <v>422</v>
      </c>
      <c r="B267" t="s">
        <v>536</v>
      </c>
      <c r="C267" t="s">
        <v>426</v>
      </c>
      <c r="D267" t="s">
        <v>538</v>
      </c>
      <c r="E267" t="s">
        <v>10</v>
      </c>
      <c r="F267" t="str">
        <f t="shared" si="55"/>
        <v>R</v>
      </c>
      <c r="G267">
        <f t="shared" si="59"/>
        <v>0</v>
      </c>
      <c r="H267" t="s">
        <v>10</v>
      </c>
      <c r="I267" t="str">
        <f t="shared" si="56"/>
        <v>R</v>
      </c>
      <c r="J267" t="str">
        <f t="shared" si="57"/>
        <v>Yes</v>
      </c>
      <c r="K267">
        <f t="shared" si="60"/>
        <v>1</v>
      </c>
      <c r="L267" t="str">
        <f t="shared" si="58"/>
        <v>Yes</v>
      </c>
      <c r="M267">
        <f t="shared" si="61"/>
        <v>1</v>
      </c>
      <c r="N267" t="s">
        <v>462</v>
      </c>
      <c r="O267" t="s">
        <v>463</v>
      </c>
      <c r="P267" t="s">
        <v>254</v>
      </c>
      <c r="Q267" t="s">
        <v>95</v>
      </c>
    </row>
    <row r="268" spans="1:17" x14ac:dyDescent="0.3">
      <c r="A268" t="s">
        <v>427</v>
      </c>
      <c r="B268" t="s">
        <v>539</v>
      </c>
      <c r="C268" t="s">
        <v>429</v>
      </c>
      <c r="D268" t="s">
        <v>496</v>
      </c>
      <c r="E268" t="s">
        <v>10</v>
      </c>
      <c r="F268" t="str">
        <f t="shared" si="55"/>
        <v>R</v>
      </c>
      <c r="G268">
        <f t="shared" si="59"/>
        <v>0</v>
      </c>
      <c r="H268" t="s">
        <v>10</v>
      </c>
      <c r="I268" t="str">
        <f t="shared" si="56"/>
        <v>R</v>
      </c>
      <c r="J268" t="str">
        <f t="shared" si="57"/>
        <v>Yes</v>
      </c>
      <c r="K268">
        <f t="shared" si="60"/>
        <v>1</v>
      </c>
      <c r="L268" t="str">
        <f t="shared" si="58"/>
        <v>Yes</v>
      </c>
      <c r="M268">
        <f t="shared" si="61"/>
        <v>1</v>
      </c>
      <c r="N268" t="s">
        <v>462</v>
      </c>
      <c r="O268" t="s">
        <v>463</v>
      </c>
      <c r="P268" t="s">
        <v>254</v>
      </c>
      <c r="Q268" t="s">
        <v>95</v>
      </c>
    </row>
    <row r="269" spans="1:17" x14ac:dyDescent="0.3">
      <c r="A269" t="s">
        <v>427</v>
      </c>
      <c r="B269" t="s">
        <v>539</v>
      </c>
      <c r="C269" t="s">
        <v>431</v>
      </c>
      <c r="D269" t="s">
        <v>539</v>
      </c>
      <c r="E269" t="s">
        <v>59</v>
      </c>
      <c r="F269" t="str">
        <f t="shared" si="55"/>
        <v>CS</v>
      </c>
      <c r="G269">
        <f t="shared" si="59"/>
        <v>1</v>
      </c>
      <c r="H269" t="s">
        <v>25</v>
      </c>
      <c r="I269" t="str">
        <f t="shared" si="56"/>
        <v>CS</v>
      </c>
      <c r="J269" t="str">
        <f t="shared" si="57"/>
        <v>Yes</v>
      </c>
      <c r="K269">
        <f t="shared" si="60"/>
        <v>1</v>
      </c>
      <c r="L269" t="str">
        <f t="shared" si="58"/>
        <v>No</v>
      </c>
      <c r="M269">
        <f t="shared" si="61"/>
        <v>0</v>
      </c>
      <c r="N269" t="s">
        <v>462</v>
      </c>
      <c r="O269" t="s">
        <v>463</v>
      </c>
      <c r="P269" t="s">
        <v>254</v>
      </c>
      <c r="Q269" t="s">
        <v>95</v>
      </c>
    </row>
    <row r="270" spans="1:17" x14ac:dyDescent="0.3">
      <c r="A270" t="s">
        <v>433</v>
      </c>
      <c r="B270" t="s">
        <v>540</v>
      </c>
      <c r="C270" t="s">
        <v>435</v>
      </c>
      <c r="D270" t="s">
        <v>541</v>
      </c>
      <c r="E270" t="s">
        <v>44</v>
      </c>
      <c r="F270" t="str">
        <f t="shared" si="55"/>
        <v>CS</v>
      </c>
      <c r="G270">
        <f t="shared" si="59"/>
        <v>1</v>
      </c>
      <c r="H270" t="s">
        <v>25</v>
      </c>
      <c r="I270" t="str">
        <f t="shared" si="56"/>
        <v>CS</v>
      </c>
      <c r="J270" t="str">
        <f t="shared" si="57"/>
        <v>Yes</v>
      </c>
      <c r="K270">
        <f t="shared" si="60"/>
        <v>1</v>
      </c>
      <c r="L270" t="str">
        <f t="shared" si="58"/>
        <v>No</v>
      </c>
      <c r="M270">
        <f t="shared" si="61"/>
        <v>0</v>
      </c>
      <c r="N270" t="s">
        <v>462</v>
      </c>
      <c r="O270" t="s">
        <v>463</v>
      </c>
      <c r="P270" t="s">
        <v>254</v>
      </c>
      <c r="Q270" t="s">
        <v>95</v>
      </c>
    </row>
    <row r="271" spans="1:17" x14ac:dyDescent="0.3">
      <c r="A271" t="s">
        <v>433</v>
      </c>
      <c r="B271" t="s">
        <v>540</v>
      </c>
      <c r="C271" t="s">
        <v>436</v>
      </c>
      <c r="D271" t="s">
        <v>542</v>
      </c>
      <c r="E271" t="s">
        <v>10</v>
      </c>
      <c r="F271" t="str">
        <f t="shared" si="55"/>
        <v>R</v>
      </c>
      <c r="G271">
        <f t="shared" si="59"/>
        <v>0</v>
      </c>
      <c r="H271" t="s">
        <v>10</v>
      </c>
      <c r="I271" t="str">
        <f t="shared" si="56"/>
        <v>R</v>
      </c>
      <c r="J271" t="str">
        <f t="shared" si="57"/>
        <v>Yes</v>
      </c>
      <c r="K271">
        <f t="shared" si="60"/>
        <v>1</v>
      </c>
      <c r="L271" t="str">
        <f t="shared" si="58"/>
        <v>Yes</v>
      </c>
      <c r="M271">
        <f t="shared" si="61"/>
        <v>1</v>
      </c>
      <c r="N271" t="s">
        <v>462</v>
      </c>
      <c r="O271" t="s">
        <v>463</v>
      </c>
      <c r="P271" t="s">
        <v>254</v>
      </c>
      <c r="Q271" t="s">
        <v>95</v>
      </c>
    </row>
    <row r="272" spans="1:17" x14ac:dyDescent="0.3">
      <c r="A272" t="s">
        <v>438</v>
      </c>
      <c r="B272" t="s">
        <v>543</v>
      </c>
      <c r="C272" t="s">
        <v>440</v>
      </c>
      <c r="D272" t="s">
        <v>544</v>
      </c>
      <c r="E272" t="s">
        <v>59</v>
      </c>
      <c r="F272" t="str">
        <f t="shared" si="55"/>
        <v>CS</v>
      </c>
      <c r="G272">
        <f t="shared" si="59"/>
        <v>1</v>
      </c>
      <c r="H272" t="s">
        <v>10</v>
      </c>
      <c r="I272" t="str">
        <f t="shared" si="56"/>
        <v>R</v>
      </c>
      <c r="J272" t="str">
        <f t="shared" si="57"/>
        <v>No</v>
      </c>
      <c r="K272">
        <f t="shared" si="60"/>
        <v>0</v>
      </c>
      <c r="L272" t="str">
        <f t="shared" si="58"/>
        <v>No</v>
      </c>
      <c r="M272">
        <f t="shared" si="61"/>
        <v>0</v>
      </c>
      <c r="N272" t="s">
        <v>462</v>
      </c>
      <c r="O272" t="s">
        <v>463</v>
      </c>
      <c r="P272" t="s">
        <v>254</v>
      </c>
      <c r="Q272" t="s">
        <v>95</v>
      </c>
    </row>
    <row r="273" spans="1:17" x14ac:dyDescent="0.3">
      <c r="A273" t="s">
        <v>442</v>
      </c>
      <c r="B273" t="s">
        <v>545</v>
      </c>
      <c r="C273" t="s">
        <v>444</v>
      </c>
      <c r="D273" t="s">
        <v>546</v>
      </c>
      <c r="E273" t="s">
        <v>59</v>
      </c>
      <c r="F273" t="str">
        <f t="shared" si="55"/>
        <v>CS</v>
      </c>
      <c r="G273">
        <f t="shared" si="59"/>
        <v>1</v>
      </c>
      <c r="H273" t="s">
        <v>10</v>
      </c>
      <c r="I273" t="str">
        <f t="shared" si="56"/>
        <v>R</v>
      </c>
      <c r="J273" t="str">
        <f t="shared" si="57"/>
        <v>No</v>
      </c>
      <c r="K273">
        <f t="shared" si="60"/>
        <v>0</v>
      </c>
      <c r="L273" t="str">
        <f t="shared" si="58"/>
        <v>No</v>
      </c>
      <c r="M273">
        <f t="shared" si="61"/>
        <v>0</v>
      </c>
      <c r="N273" t="s">
        <v>462</v>
      </c>
      <c r="O273" t="s">
        <v>463</v>
      </c>
      <c r="P273" t="s">
        <v>254</v>
      </c>
      <c r="Q273" t="s">
        <v>95</v>
      </c>
    </row>
    <row r="274" spans="1:17" x14ac:dyDescent="0.3">
      <c r="A274" t="s">
        <v>446</v>
      </c>
      <c r="B274" t="s">
        <v>547</v>
      </c>
      <c r="C274" t="s">
        <v>448</v>
      </c>
      <c r="D274" t="s">
        <v>548</v>
      </c>
      <c r="E274" t="s">
        <v>59</v>
      </c>
      <c r="F274" t="str">
        <f t="shared" si="55"/>
        <v>CS</v>
      </c>
      <c r="G274">
        <f t="shared" si="59"/>
        <v>1</v>
      </c>
      <c r="H274" t="s">
        <v>10</v>
      </c>
      <c r="I274" t="str">
        <f t="shared" si="56"/>
        <v>R</v>
      </c>
      <c r="J274" t="str">
        <f t="shared" si="57"/>
        <v>No</v>
      </c>
      <c r="K274">
        <f t="shared" si="60"/>
        <v>0</v>
      </c>
      <c r="L274" t="str">
        <f t="shared" si="58"/>
        <v>No</v>
      </c>
      <c r="M274">
        <f t="shared" si="61"/>
        <v>0</v>
      </c>
      <c r="N274" t="s">
        <v>462</v>
      </c>
      <c r="O274" t="s">
        <v>463</v>
      </c>
      <c r="P274" t="s">
        <v>254</v>
      </c>
      <c r="Q274" t="s">
        <v>95</v>
      </c>
    </row>
    <row r="275" spans="1:17" x14ac:dyDescent="0.3">
      <c r="A275" t="s">
        <v>450</v>
      </c>
      <c r="B275" t="s">
        <v>549</v>
      </c>
      <c r="C275" t="s">
        <v>452</v>
      </c>
      <c r="D275" t="s">
        <v>550</v>
      </c>
      <c r="E275" t="s">
        <v>59</v>
      </c>
      <c r="F275" t="str">
        <f t="shared" si="55"/>
        <v>CS</v>
      </c>
      <c r="G275">
        <f t="shared" si="59"/>
        <v>1</v>
      </c>
      <c r="H275" t="s">
        <v>10</v>
      </c>
      <c r="I275" t="str">
        <f t="shared" si="56"/>
        <v>R</v>
      </c>
      <c r="J275" t="str">
        <f t="shared" si="57"/>
        <v>No</v>
      </c>
      <c r="K275">
        <f t="shared" si="60"/>
        <v>0</v>
      </c>
      <c r="L275" t="str">
        <f t="shared" si="58"/>
        <v>No</v>
      </c>
      <c r="M275">
        <f t="shared" si="61"/>
        <v>0</v>
      </c>
      <c r="N275" t="s">
        <v>462</v>
      </c>
      <c r="O275" t="s">
        <v>463</v>
      </c>
      <c r="P275" t="s">
        <v>254</v>
      </c>
      <c r="Q275" t="s">
        <v>95</v>
      </c>
    </row>
    <row r="276" spans="1:17" x14ac:dyDescent="0.3">
      <c r="A276" t="s">
        <v>454</v>
      </c>
      <c r="B276" t="s">
        <v>551</v>
      </c>
      <c r="C276" t="s">
        <v>456</v>
      </c>
      <c r="D276" t="s">
        <v>552</v>
      </c>
      <c r="E276" t="s">
        <v>59</v>
      </c>
      <c r="F276" t="str">
        <f t="shared" si="55"/>
        <v>CS</v>
      </c>
      <c r="G276">
        <f t="shared" si="59"/>
        <v>1</v>
      </c>
      <c r="H276" t="s">
        <v>10</v>
      </c>
      <c r="I276" t="str">
        <f t="shared" si="56"/>
        <v>R</v>
      </c>
      <c r="J276" t="str">
        <f t="shared" si="57"/>
        <v>No</v>
      </c>
      <c r="K276">
        <f t="shared" si="60"/>
        <v>0</v>
      </c>
      <c r="L276" t="str">
        <f t="shared" si="58"/>
        <v>No</v>
      </c>
      <c r="M276">
        <f t="shared" si="61"/>
        <v>0</v>
      </c>
      <c r="N276" t="s">
        <v>462</v>
      </c>
      <c r="O276" t="s">
        <v>463</v>
      </c>
      <c r="P276" t="s">
        <v>254</v>
      </c>
      <c r="Q276" t="s">
        <v>95</v>
      </c>
    </row>
    <row r="277" spans="1:17" x14ac:dyDescent="0.3">
      <c r="A277" t="s">
        <v>458</v>
      </c>
      <c r="B277" t="s">
        <v>553</v>
      </c>
      <c r="C277" t="s">
        <v>460</v>
      </c>
      <c r="D277" t="s">
        <v>554</v>
      </c>
      <c r="E277" t="s">
        <v>10</v>
      </c>
      <c r="F277" t="str">
        <f t="shared" si="55"/>
        <v>R</v>
      </c>
      <c r="G277">
        <f t="shared" si="59"/>
        <v>0</v>
      </c>
      <c r="H277" t="s">
        <v>10</v>
      </c>
      <c r="I277" t="str">
        <f t="shared" si="56"/>
        <v>R</v>
      </c>
      <c r="J277" t="str">
        <f t="shared" si="57"/>
        <v>Yes</v>
      </c>
      <c r="K277">
        <f t="shared" si="60"/>
        <v>1</v>
      </c>
      <c r="L277" t="str">
        <f t="shared" si="58"/>
        <v>Yes</v>
      </c>
      <c r="M277">
        <f t="shared" si="61"/>
        <v>1</v>
      </c>
      <c r="N277" t="s">
        <v>462</v>
      </c>
      <c r="O277" t="s">
        <v>463</v>
      </c>
      <c r="P277" t="s">
        <v>254</v>
      </c>
      <c r="Q277" t="s">
        <v>95</v>
      </c>
    </row>
    <row r="278" spans="1:17" x14ac:dyDescent="0.3">
      <c r="A278" t="s">
        <v>555</v>
      </c>
      <c r="B278" t="s">
        <v>556</v>
      </c>
      <c r="C278" t="s">
        <v>557</v>
      </c>
      <c r="D278" t="s">
        <v>558</v>
      </c>
      <c r="E278" t="s">
        <v>10</v>
      </c>
      <c r="F278" t="str">
        <f>IF(E278="R", "R", "CS")</f>
        <v>R</v>
      </c>
      <c r="G278">
        <f t="shared" si="59"/>
        <v>0</v>
      </c>
      <c r="H278" t="s">
        <v>10</v>
      </c>
      <c r="I278" t="str">
        <f>IF(H278="R", "R", "CS")</f>
        <v>R</v>
      </c>
      <c r="J278" t="str">
        <f>IF(F278=I278, "Yes", "No")</f>
        <v>Yes</v>
      </c>
      <c r="K278">
        <f t="shared" si="60"/>
        <v>1</v>
      </c>
      <c r="L278" t="str">
        <f>IF(E278=H278, "Yes", "No")</f>
        <v>Yes</v>
      </c>
      <c r="M278">
        <f t="shared" si="61"/>
        <v>1</v>
      </c>
      <c r="N278" t="s">
        <v>462</v>
      </c>
      <c r="O278" t="s">
        <v>463</v>
      </c>
      <c r="P278" t="s">
        <v>191</v>
      </c>
      <c r="Q278" t="s">
        <v>3</v>
      </c>
    </row>
    <row r="279" spans="1:17" x14ac:dyDescent="0.3">
      <c r="A279" t="s">
        <v>559</v>
      </c>
      <c r="B279" t="s">
        <v>560</v>
      </c>
      <c r="C279" t="s">
        <v>561</v>
      </c>
      <c r="D279" t="s">
        <v>562</v>
      </c>
      <c r="E279" t="s">
        <v>59</v>
      </c>
      <c r="F279" t="str">
        <f t="shared" ref="F279:F289" si="62">IF(E279="R", "R", "CS")</f>
        <v>CS</v>
      </c>
      <c r="G279">
        <f t="shared" si="59"/>
        <v>1</v>
      </c>
      <c r="H279" t="s">
        <v>59</v>
      </c>
      <c r="I279" t="str">
        <f t="shared" ref="I279:I289" si="63">IF(H279="R", "R", "CS")</f>
        <v>CS</v>
      </c>
      <c r="J279" t="str">
        <f t="shared" ref="J279:J289" si="64">IF(F279=I279, "Yes", "No")</f>
        <v>Yes</v>
      </c>
      <c r="K279">
        <f t="shared" si="60"/>
        <v>1</v>
      </c>
      <c r="L279" t="str">
        <f t="shared" ref="L279:L289" si="65">IF(E279=H279, "Yes", "No")</f>
        <v>Yes</v>
      </c>
      <c r="M279">
        <f t="shared" si="61"/>
        <v>1</v>
      </c>
      <c r="N279" t="s">
        <v>462</v>
      </c>
      <c r="O279" t="s">
        <v>463</v>
      </c>
      <c r="P279" t="s">
        <v>191</v>
      </c>
      <c r="Q279" t="s">
        <v>3</v>
      </c>
    </row>
    <row r="280" spans="1:17" x14ac:dyDescent="0.3">
      <c r="A280" t="s">
        <v>559</v>
      </c>
      <c r="B280" t="s">
        <v>560</v>
      </c>
      <c r="C280" t="s">
        <v>563</v>
      </c>
      <c r="D280" t="s">
        <v>564</v>
      </c>
      <c r="E280" t="s">
        <v>59</v>
      </c>
      <c r="F280" t="str">
        <f t="shared" si="62"/>
        <v>CS</v>
      </c>
      <c r="G280">
        <f t="shared" si="59"/>
        <v>1</v>
      </c>
      <c r="H280" t="s">
        <v>10</v>
      </c>
      <c r="I280" t="str">
        <f t="shared" si="63"/>
        <v>R</v>
      </c>
      <c r="J280" t="str">
        <f t="shared" si="64"/>
        <v>No</v>
      </c>
      <c r="K280">
        <f t="shared" si="60"/>
        <v>0</v>
      </c>
      <c r="L280" t="str">
        <f t="shared" si="65"/>
        <v>No</v>
      </c>
      <c r="M280">
        <f t="shared" si="61"/>
        <v>0</v>
      </c>
      <c r="N280" t="s">
        <v>462</v>
      </c>
      <c r="O280" t="s">
        <v>463</v>
      </c>
      <c r="P280" t="s">
        <v>191</v>
      </c>
      <c r="Q280" t="s">
        <v>3</v>
      </c>
    </row>
    <row r="281" spans="1:17" x14ac:dyDescent="0.3">
      <c r="A281" t="s">
        <v>565</v>
      </c>
      <c r="B281" t="s">
        <v>566</v>
      </c>
      <c r="C281" t="s">
        <v>567</v>
      </c>
      <c r="D281" t="s">
        <v>568</v>
      </c>
      <c r="E281" t="s">
        <v>10</v>
      </c>
      <c r="F281" t="str">
        <f t="shared" si="62"/>
        <v>R</v>
      </c>
      <c r="G281">
        <f t="shared" si="59"/>
        <v>0</v>
      </c>
      <c r="H281" t="s">
        <v>44</v>
      </c>
      <c r="I281" t="str">
        <f t="shared" si="63"/>
        <v>CS</v>
      </c>
      <c r="J281" t="str">
        <f t="shared" si="64"/>
        <v>No</v>
      </c>
      <c r="K281">
        <f t="shared" si="60"/>
        <v>0</v>
      </c>
      <c r="L281" t="str">
        <f t="shared" si="65"/>
        <v>No</v>
      </c>
      <c r="M281">
        <f t="shared" si="61"/>
        <v>0</v>
      </c>
      <c r="N281" t="s">
        <v>462</v>
      </c>
      <c r="O281" t="s">
        <v>463</v>
      </c>
      <c r="P281" t="s">
        <v>191</v>
      </c>
      <c r="Q281" t="s">
        <v>3</v>
      </c>
    </row>
    <row r="282" spans="1:17" x14ac:dyDescent="0.3">
      <c r="A282" t="s">
        <v>565</v>
      </c>
      <c r="B282" t="s">
        <v>566</v>
      </c>
      <c r="C282" t="s">
        <v>569</v>
      </c>
      <c r="D282" t="s">
        <v>570</v>
      </c>
      <c r="E282" t="s">
        <v>10</v>
      </c>
      <c r="F282" t="str">
        <f t="shared" si="62"/>
        <v>R</v>
      </c>
      <c r="G282">
        <f t="shared" si="59"/>
        <v>0</v>
      </c>
      <c r="H282" t="s">
        <v>10</v>
      </c>
      <c r="I282" t="str">
        <f t="shared" si="63"/>
        <v>R</v>
      </c>
      <c r="J282" t="str">
        <f t="shared" si="64"/>
        <v>Yes</v>
      </c>
      <c r="K282">
        <f t="shared" si="60"/>
        <v>1</v>
      </c>
      <c r="L282" t="str">
        <f t="shared" si="65"/>
        <v>Yes</v>
      </c>
      <c r="M282">
        <f t="shared" si="61"/>
        <v>1</v>
      </c>
      <c r="N282" t="s">
        <v>462</v>
      </c>
      <c r="O282" t="s">
        <v>463</v>
      </c>
      <c r="P282" t="s">
        <v>191</v>
      </c>
      <c r="Q282" t="s">
        <v>3</v>
      </c>
    </row>
    <row r="283" spans="1:17" x14ac:dyDescent="0.3">
      <c r="A283" t="s">
        <v>571</v>
      </c>
      <c r="B283" t="s">
        <v>572</v>
      </c>
      <c r="C283" t="s">
        <v>573</v>
      </c>
      <c r="D283" t="s">
        <v>574</v>
      </c>
      <c r="E283" t="s">
        <v>10</v>
      </c>
      <c r="F283" t="str">
        <f t="shared" si="62"/>
        <v>R</v>
      </c>
      <c r="G283">
        <f t="shared" si="59"/>
        <v>0</v>
      </c>
      <c r="H283" t="s">
        <v>10</v>
      </c>
      <c r="I283" t="str">
        <f t="shared" si="63"/>
        <v>R</v>
      </c>
      <c r="J283" t="str">
        <f t="shared" si="64"/>
        <v>Yes</v>
      </c>
      <c r="K283">
        <f t="shared" si="60"/>
        <v>1</v>
      </c>
      <c r="L283" t="str">
        <f t="shared" si="65"/>
        <v>Yes</v>
      </c>
      <c r="M283">
        <f t="shared" si="61"/>
        <v>1</v>
      </c>
      <c r="N283" t="s">
        <v>462</v>
      </c>
      <c r="O283" t="s">
        <v>463</v>
      </c>
      <c r="P283" t="s">
        <v>191</v>
      </c>
      <c r="Q283" t="s">
        <v>3</v>
      </c>
    </row>
    <row r="284" spans="1:17" x14ac:dyDescent="0.3">
      <c r="A284" t="s">
        <v>575</v>
      </c>
      <c r="B284" t="s">
        <v>576</v>
      </c>
      <c r="C284" t="s">
        <v>577</v>
      </c>
      <c r="D284" t="s">
        <v>578</v>
      </c>
      <c r="E284" t="s">
        <v>59</v>
      </c>
      <c r="F284" t="str">
        <f t="shared" si="62"/>
        <v>CS</v>
      </c>
      <c r="G284">
        <f t="shared" si="59"/>
        <v>1</v>
      </c>
      <c r="H284" t="s">
        <v>10</v>
      </c>
      <c r="I284" t="str">
        <f t="shared" si="63"/>
        <v>R</v>
      </c>
      <c r="J284" t="str">
        <f t="shared" si="64"/>
        <v>No</v>
      </c>
      <c r="K284">
        <f t="shared" si="60"/>
        <v>0</v>
      </c>
      <c r="L284" t="str">
        <f t="shared" si="65"/>
        <v>No</v>
      </c>
      <c r="M284">
        <f t="shared" si="61"/>
        <v>0</v>
      </c>
      <c r="N284" t="s">
        <v>462</v>
      </c>
      <c r="O284" t="s">
        <v>463</v>
      </c>
      <c r="P284" t="s">
        <v>191</v>
      </c>
      <c r="Q284" t="s">
        <v>3</v>
      </c>
    </row>
    <row r="285" spans="1:17" x14ac:dyDescent="0.3">
      <c r="A285" t="s">
        <v>579</v>
      </c>
      <c r="B285" t="s">
        <v>580</v>
      </c>
      <c r="C285" t="s">
        <v>581</v>
      </c>
      <c r="D285" t="s">
        <v>582</v>
      </c>
      <c r="E285" t="s">
        <v>10</v>
      </c>
      <c r="F285" t="str">
        <f t="shared" si="62"/>
        <v>R</v>
      </c>
      <c r="G285">
        <f t="shared" si="59"/>
        <v>0</v>
      </c>
      <c r="H285" t="s">
        <v>10</v>
      </c>
      <c r="I285" t="str">
        <f t="shared" si="63"/>
        <v>R</v>
      </c>
      <c r="J285" t="str">
        <f t="shared" si="64"/>
        <v>Yes</v>
      </c>
      <c r="K285">
        <f t="shared" si="60"/>
        <v>1</v>
      </c>
      <c r="L285" t="str">
        <f t="shared" si="65"/>
        <v>Yes</v>
      </c>
      <c r="M285">
        <f t="shared" si="61"/>
        <v>1</v>
      </c>
      <c r="N285" t="s">
        <v>462</v>
      </c>
      <c r="O285" t="s">
        <v>463</v>
      </c>
      <c r="P285" t="s">
        <v>191</v>
      </c>
      <c r="Q285" t="s">
        <v>3</v>
      </c>
    </row>
    <row r="286" spans="1:17" x14ac:dyDescent="0.3">
      <c r="A286" t="s">
        <v>583</v>
      </c>
      <c r="B286" t="s">
        <v>584</v>
      </c>
      <c r="C286" t="s">
        <v>585</v>
      </c>
      <c r="D286" t="s">
        <v>586</v>
      </c>
      <c r="E286" t="s">
        <v>59</v>
      </c>
      <c r="F286" t="str">
        <f t="shared" si="62"/>
        <v>CS</v>
      </c>
      <c r="G286">
        <f t="shared" si="59"/>
        <v>1</v>
      </c>
      <c r="H286" t="s">
        <v>10</v>
      </c>
      <c r="I286" t="str">
        <f t="shared" si="63"/>
        <v>R</v>
      </c>
      <c r="J286" t="str">
        <f t="shared" si="64"/>
        <v>No</v>
      </c>
      <c r="K286">
        <f t="shared" si="60"/>
        <v>0</v>
      </c>
      <c r="L286" t="str">
        <f t="shared" si="65"/>
        <v>No</v>
      </c>
      <c r="M286">
        <f t="shared" si="61"/>
        <v>0</v>
      </c>
      <c r="N286" t="s">
        <v>462</v>
      </c>
      <c r="O286" t="s">
        <v>463</v>
      </c>
      <c r="P286" t="s">
        <v>191</v>
      </c>
      <c r="Q286" t="s">
        <v>3</v>
      </c>
    </row>
    <row r="287" spans="1:17" x14ac:dyDescent="0.3">
      <c r="A287" t="s">
        <v>583</v>
      </c>
      <c r="B287" t="s">
        <v>584</v>
      </c>
      <c r="C287" t="s">
        <v>587</v>
      </c>
      <c r="D287" t="s">
        <v>588</v>
      </c>
      <c r="E287" t="s">
        <v>59</v>
      </c>
      <c r="F287" t="str">
        <f t="shared" si="62"/>
        <v>CS</v>
      </c>
      <c r="G287">
        <f t="shared" si="59"/>
        <v>1</v>
      </c>
      <c r="H287" t="s">
        <v>25</v>
      </c>
      <c r="I287" t="str">
        <f t="shared" si="63"/>
        <v>CS</v>
      </c>
      <c r="J287" t="str">
        <f t="shared" si="64"/>
        <v>Yes</v>
      </c>
      <c r="K287">
        <f t="shared" si="60"/>
        <v>1</v>
      </c>
      <c r="L287" t="str">
        <f t="shared" si="65"/>
        <v>No</v>
      </c>
      <c r="M287">
        <f t="shared" si="61"/>
        <v>0</v>
      </c>
      <c r="N287" t="s">
        <v>462</v>
      </c>
      <c r="O287" t="s">
        <v>463</v>
      </c>
      <c r="P287" t="s">
        <v>191</v>
      </c>
      <c r="Q287" t="s">
        <v>3</v>
      </c>
    </row>
    <row r="288" spans="1:17" x14ac:dyDescent="0.3">
      <c r="A288" t="s">
        <v>589</v>
      </c>
      <c r="B288" t="s">
        <v>590</v>
      </c>
      <c r="C288" t="s">
        <v>591</v>
      </c>
      <c r="D288" t="s">
        <v>592</v>
      </c>
      <c r="E288" t="s">
        <v>59</v>
      </c>
      <c r="F288" t="str">
        <f t="shared" si="62"/>
        <v>CS</v>
      </c>
      <c r="G288">
        <f t="shared" si="59"/>
        <v>1</v>
      </c>
      <c r="H288" t="s">
        <v>10</v>
      </c>
      <c r="I288" t="str">
        <f t="shared" si="63"/>
        <v>R</v>
      </c>
      <c r="J288" t="str">
        <f t="shared" si="64"/>
        <v>No</v>
      </c>
      <c r="K288">
        <f t="shared" si="60"/>
        <v>0</v>
      </c>
      <c r="L288" t="str">
        <f t="shared" si="65"/>
        <v>No</v>
      </c>
      <c r="M288">
        <f t="shared" si="61"/>
        <v>0</v>
      </c>
      <c r="N288" t="s">
        <v>462</v>
      </c>
      <c r="O288" t="s">
        <v>463</v>
      </c>
      <c r="P288" t="s">
        <v>191</v>
      </c>
      <c r="Q288" t="s">
        <v>3</v>
      </c>
    </row>
    <row r="289" spans="1:17" x14ac:dyDescent="0.3">
      <c r="A289" t="s">
        <v>593</v>
      </c>
      <c r="B289" t="s">
        <v>594</v>
      </c>
      <c r="C289" t="s">
        <v>595</v>
      </c>
      <c r="D289" t="s">
        <v>596</v>
      </c>
      <c r="E289" t="s">
        <v>59</v>
      </c>
      <c r="F289" t="str">
        <f t="shared" si="62"/>
        <v>CS</v>
      </c>
      <c r="G289">
        <f t="shared" si="59"/>
        <v>1</v>
      </c>
      <c r="H289" t="s">
        <v>10</v>
      </c>
      <c r="I289" t="str">
        <f t="shared" si="63"/>
        <v>R</v>
      </c>
      <c r="J289" t="str">
        <f t="shared" si="64"/>
        <v>No</v>
      </c>
      <c r="K289">
        <f t="shared" si="60"/>
        <v>0</v>
      </c>
      <c r="L289" t="str">
        <f t="shared" si="65"/>
        <v>No</v>
      </c>
      <c r="M289">
        <f t="shared" si="61"/>
        <v>0</v>
      </c>
      <c r="N289" t="s">
        <v>462</v>
      </c>
      <c r="O289" t="s">
        <v>463</v>
      </c>
      <c r="P289" t="s">
        <v>191</v>
      </c>
      <c r="Q289" t="s">
        <v>3</v>
      </c>
    </row>
    <row r="290" spans="1:17" x14ac:dyDescent="0.3">
      <c r="A290" t="s">
        <v>555</v>
      </c>
      <c r="B290" t="s">
        <v>597</v>
      </c>
      <c r="C290" t="s">
        <v>557</v>
      </c>
      <c r="D290" t="s">
        <v>598</v>
      </c>
      <c r="E290" t="s">
        <v>10</v>
      </c>
      <c r="F290" t="str">
        <f>IF(E290="R", "R", "CS")</f>
        <v>R</v>
      </c>
      <c r="G290">
        <f t="shared" si="59"/>
        <v>0</v>
      </c>
      <c r="H290" t="s">
        <v>10</v>
      </c>
      <c r="I290" t="str">
        <f>IF(H290="R", "R", "CS")</f>
        <v>R</v>
      </c>
      <c r="J290" t="str">
        <f>IF(F290=I290, "Yes", "No")</f>
        <v>Yes</v>
      </c>
      <c r="K290">
        <f t="shared" si="60"/>
        <v>1</v>
      </c>
      <c r="L290" t="str">
        <f>IF(E290=H290, "Yes", "No")</f>
        <v>Yes</v>
      </c>
      <c r="M290">
        <f t="shared" si="61"/>
        <v>1</v>
      </c>
      <c r="N290" t="s">
        <v>462</v>
      </c>
      <c r="O290" t="s">
        <v>463</v>
      </c>
      <c r="P290" t="s">
        <v>191</v>
      </c>
      <c r="Q290" t="s">
        <v>74</v>
      </c>
    </row>
    <row r="291" spans="1:17" x14ac:dyDescent="0.3">
      <c r="A291" t="s">
        <v>559</v>
      </c>
      <c r="B291" t="s">
        <v>599</v>
      </c>
      <c r="C291" t="s">
        <v>561</v>
      </c>
      <c r="D291" t="s">
        <v>600</v>
      </c>
      <c r="E291" t="s">
        <v>10</v>
      </c>
      <c r="F291" t="str">
        <f t="shared" ref="F291:F301" si="66">IF(E291="R", "R", "CS")</f>
        <v>R</v>
      </c>
      <c r="G291">
        <f t="shared" si="59"/>
        <v>0</v>
      </c>
      <c r="H291" t="s">
        <v>10</v>
      </c>
      <c r="I291" t="str">
        <f t="shared" ref="I291:I300" si="67">IF(H291="R", "R", "CS")</f>
        <v>R</v>
      </c>
      <c r="J291" t="str">
        <f t="shared" ref="J291:J301" si="68">IF(F291=I291, "Yes", "No")</f>
        <v>Yes</v>
      </c>
      <c r="K291">
        <f t="shared" si="60"/>
        <v>1</v>
      </c>
      <c r="L291" t="str">
        <f t="shared" ref="L291:L301" si="69">IF(E291=H291, "Yes", "No")</f>
        <v>Yes</v>
      </c>
      <c r="M291">
        <f t="shared" si="61"/>
        <v>1</v>
      </c>
      <c r="N291" t="s">
        <v>462</v>
      </c>
      <c r="O291" t="s">
        <v>463</v>
      </c>
      <c r="P291" t="s">
        <v>191</v>
      </c>
      <c r="Q291" t="s">
        <v>74</v>
      </c>
    </row>
    <row r="292" spans="1:17" x14ac:dyDescent="0.3">
      <c r="A292" t="s">
        <v>559</v>
      </c>
      <c r="B292" t="s">
        <v>599</v>
      </c>
      <c r="C292" t="s">
        <v>563</v>
      </c>
      <c r="D292" t="s">
        <v>601</v>
      </c>
      <c r="E292" t="s">
        <v>59</v>
      </c>
      <c r="F292" t="str">
        <f t="shared" si="66"/>
        <v>CS</v>
      </c>
      <c r="G292">
        <f t="shared" si="59"/>
        <v>1</v>
      </c>
      <c r="H292" t="s">
        <v>10</v>
      </c>
      <c r="I292" t="str">
        <f t="shared" si="67"/>
        <v>R</v>
      </c>
      <c r="J292" t="str">
        <f t="shared" si="68"/>
        <v>No</v>
      </c>
      <c r="K292">
        <f t="shared" si="60"/>
        <v>0</v>
      </c>
      <c r="L292" t="str">
        <f t="shared" si="69"/>
        <v>No</v>
      </c>
      <c r="M292">
        <f t="shared" si="61"/>
        <v>0</v>
      </c>
      <c r="N292" t="s">
        <v>462</v>
      </c>
      <c r="O292" t="s">
        <v>463</v>
      </c>
      <c r="P292" t="s">
        <v>191</v>
      </c>
      <c r="Q292" t="s">
        <v>74</v>
      </c>
    </row>
    <row r="293" spans="1:17" x14ac:dyDescent="0.3">
      <c r="A293" t="s">
        <v>565</v>
      </c>
      <c r="B293" t="s">
        <v>602</v>
      </c>
      <c r="C293" t="s">
        <v>567</v>
      </c>
      <c r="D293" t="s">
        <v>568</v>
      </c>
      <c r="E293" t="s">
        <v>10</v>
      </c>
      <c r="F293" t="str">
        <f t="shared" si="66"/>
        <v>R</v>
      </c>
      <c r="G293">
        <f t="shared" si="59"/>
        <v>0</v>
      </c>
      <c r="H293" t="s">
        <v>25</v>
      </c>
      <c r="I293" t="str">
        <f t="shared" si="67"/>
        <v>CS</v>
      </c>
      <c r="J293" t="str">
        <f t="shared" si="68"/>
        <v>No</v>
      </c>
      <c r="K293">
        <f t="shared" si="60"/>
        <v>0</v>
      </c>
      <c r="L293" t="str">
        <f t="shared" si="69"/>
        <v>No</v>
      </c>
      <c r="M293">
        <f t="shared" si="61"/>
        <v>0</v>
      </c>
      <c r="N293" t="s">
        <v>462</v>
      </c>
      <c r="O293" t="s">
        <v>463</v>
      </c>
      <c r="P293" t="s">
        <v>191</v>
      </c>
      <c r="Q293" t="s">
        <v>74</v>
      </c>
    </row>
    <row r="294" spans="1:17" x14ac:dyDescent="0.3">
      <c r="A294" t="s">
        <v>565</v>
      </c>
      <c r="B294" t="s">
        <v>602</v>
      </c>
      <c r="C294" t="s">
        <v>569</v>
      </c>
      <c r="D294" t="s">
        <v>603</v>
      </c>
      <c r="E294" t="s">
        <v>10</v>
      </c>
      <c r="F294" t="str">
        <f t="shared" si="66"/>
        <v>R</v>
      </c>
      <c r="G294">
        <f t="shared" si="59"/>
        <v>0</v>
      </c>
      <c r="H294" t="s">
        <v>10</v>
      </c>
      <c r="I294" t="str">
        <f t="shared" si="67"/>
        <v>R</v>
      </c>
      <c r="J294" t="str">
        <f t="shared" si="68"/>
        <v>Yes</v>
      </c>
      <c r="K294">
        <f t="shared" si="60"/>
        <v>1</v>
      </c>
      <c r="L294" t="str">
        <f t="shared" si="69"/>
        <v>Yes</v>
      </c>
      <c r="M294">
        <f t="shared" si="61"/>
        <v>1</v>
      </c>
      <c r="N294" t="s">
        <v>462</v>
      </c>
      <c r="O294" t="s">
        <v>463</v>
      </c>
      <c r="P294" t="s">
        <v>191</v>
      </c>
      <c r="Q294" t="s">
        <v>74</v>
      </c>
    </row>
    <row r="295" spans="1:17" x14ac:dyDescent="0.3">
      <c r="A295" t="s">
        <v>571</v>
      </c>
      <c r="B295" t="s">
        <v>604</v>
      </c>
      <c r="C295" t="s">
        <v>573</v>
      </c>
      <c r="D295" t="s">
        <v>605</v>
      </c>
      <c r="E295" t="s">
        <v>10</v>
      </c>
      <c r="F295" t="str">
        <f t="shared" si="66"/>
        <v>R</v>
      </c>
      <c r="G295">
        <f t="shared" si="59"/>
        <v>0</v>
      </c>
      <c r="H295" t="s">
        <v>10</v>
      </c>
      <c r="I295" t="str">
        <f t="shared" si="67"/>
        <v>R</v>
      </c>
      <c r="J295" t="str">
        <f t="shared" si="68"/>
        <v>Yes</v>
      </c>
      <c r="K295">
        <f t="shared" si="60"/>
        <v>1</v>
      </c>
      <c r="L295" t="str">
        <f t="shared" si="69"/>
        <v>Yes</v>
      </c>
      <c r="M295">
        <f t="shared" si="61"/>
        <v>1</v>
      </c>
      <c r="N295" t="s">
        <v>462</v>
      </c>
      <c r="O295" t="s">
        <v>463</v>
      </c>
      <c r="P295" t="s">
        <v>191</v>
      </c>
      <c r="Q295" t="s">
        <v>74</v>
      </c>
    </row>
    <row r="296" spans="1:17" x14ac:dyDescent="0.3">
      <c r="A296" t="s">
        <v>606</v>
      </c>
      <c r="B296" t="s">
        <v>607</v>
      </c>
      <c r="C296" t="s">
        <v>577</v>
      </c>
      <c r="D296" t="s">
        <v>608</v>
      </c>
      <c r="E296" t="s">
        <v>59</v>
      </c>
      <c r="F296" t="str">
        <f t="shared" si="66"/>
        <v>CS</v>
      </c>
      <c r="G296">
        <f t="shared" si="59"/>
        <v>1</v>
      </c>
      <c r="H296" t="s">
        <v>10</v>
      </c>
      <c r="I296" t="str">
        <f t="shared" si="67"/>
        <v>R</v>
      </c>
      <c r="J296" t="str">
        <f t="shared" si="68"/>
        <v>No</v>
      </c>
      <c r="K296">
        <f t="shared" si="60"/>
        <v>0</v>
      </c>
      <c r="L296" t="str">
        <f t="shared" si="69"/>
        <v>No</v>
      </c>
      <c r="M296">
        <f t="shared" si="61"/>
        <v>0</v>
      </c>
      <c r="N296" t="s">
        <v>462</v>
      </c>
      <c r="O296" t="s">
        <v>463</v>
      </c>
      <c r="P296" t="s">
        <v>191</v>
      </c>
      <c r="Q296" t="s">
        <v>74</v>
      </c>
    </row>
    <row r="297" spans="1:17" x14ac:dyDescent="0.3">
      <c r="A297" t="s">
        <v>579</v>
      </c>
      <c r="B297" t="s">
        <v>609</v>
      </c>
      <c r="C297" t="s">
        <v>581</v>
      </c>
      <c r="D297" t="s">
        <v>610</v>
      </c>
      <c r="E297" t="s">
        <v>10</v>
      </c>
      <c r="F297" t="str">
        <f t="shared" si="66"/>
        <v>R</v>
      </c>
      <c r="G297">
        <f t="shared" si="59"/>
        <v>0</v>
      </c>
      <c r="H297" t="s">
        <v>10</v>
      </c>
      <c r="I297" t="str">
        <f t="shared" si="67"/>
        <v>R</v>
      </c>
      <c r="J297" t="str">
        <f t="shared" si="68"/>
        <v>Yes</v>
      </c>
      <c r="K297">
        <f t="shared" si="60"/>
        <v>1</v>
      </c>
      <c r="L297" t="str">
        <f t="shared" si="69"/>
        <v>Yes</v>
      </c>
      <c r="M297">
        <f t="shared" si="61"/>
        <v>1</v>
      </c>
      <c r="N297" t="s">
        <v>462</v>
      </c>
      <c r="O297" t="s">
        <v>463</v>
      </c>
      <c r="P297" t="s">
        <v>191</v>
      </c>
      <c r="Q297" t="s">
        <v>74</v>
      </c>
    </row>
    <row r="298" spans="1:17" x14ac:dyDescent="0.3">
      <c r="A298" t="s">
        <v>583</v>
      </c>
      <c r="B298" t="s">
        <v>611</v>
      </c>
      <c r="C298" t="s">
        <v>585</v>
      </c>
      <c r="D298" t="s">
        <v>612</v>
      </c>
      <c r="E298" t="s">
        <v>10</v>
      </c>
      <c r="F298" t="str">
        <f t="shared" si="66"/>
        <v>R</v>
      </c>
      <c r="G298">
        <f t="shared" si="59"/>
        <v>0</v>
      </c>
      <c r="H298" t="s">
        <v>25</v>
      </c>
      <c r="I298" t="str">
        <f t="shared" si="67"/>
        <v>CS</v>
      </c>
      <c r="J298" t="str">
        <f t="shared" si="68"/>
        <v>No</v>
      </c>
      <c r="K298">
        <f t="shared" si="60"/>
        <v>0</v>
      </c>
      <c r="L298" t="str">
        <f t="shared" si="69"/>
        <v>No</v>
      </c>
      <c r="M298">
        <f t="shared" si="61"/>
        <v>0</v>
      </c>
      <c r="N298" t="s">
        <v>462</v>
      </c>
      <c r="O298" t="s">
        <v>463</v>
      </c>
      <c r="P298" t="s">
        <v>191</v>
      </c>
      <c r="Q298" t="s">
        <v>74</v>
      </c>
    </row>
    <row r="299" spans="1:17" x14ac:dyDescent="0.3">
      <c r="A299" t="s">
        <v>583</v>
      </c>
      <c r="B299" t="s">
        <v>611</v>
      </c>
      <c r="C299" t="s">
        <v>587</v>
      </c>
      <c r="D299" t="s">
        <v>613</v>
      </c>
      <c r="E299" t="s">
        <v>59</v>
      </c>
      <c r="F299" t="str">
        <f t="shared" si="66"/>
        <v>CS</v>
      </c>
      <c r="G299">
        <f t="shared" si="59"/>
        <v>1</v>
      </c>
      <c r="H299" t="s">
        <v>59</v>
      </c>
      <c r="I299" t="str">
        <f t="shared" si="67"/>
        <v>CS</v>
      </c>
      <c r="J299" t="str">
        <f t="shared" si="68"/>
        <v>Yes</v>
      </c>
      <c r="K299">
        <f t="shared" si="60"/>
        <v>1</v>
      </c>
      <c r="L299" t="str">
        <f t="shared" si="69"/>
        <v>Yes</v>
      </c>
      <c r="M299">
        <f t="shared" si="61"/>
        <v>1</v>
      </c>
      <c r="N299" t="s">
        <v>462</v>
      </c>
      <c r="O299" t="s">
        <v>463</v>
      </c>
      <c r="P299" t="s">
        <v>191</v>
      </c>
      <c r="Q299" t="s">
        <v>74</v>
      </c>
    </row>
    <row r="300" spans="1:17" x14ac:dyDescent="0.3">
      <c r="A300" t="s">
        <v>589</v>
      </c>
      <c r="B300" t="s">
        <v>614</v>
      </c>
      <c r="C300" t="s">
        <v>591</v>
      </c>
      <c r="D300" t="s">
        <v>615</v>
      </c>
      <c r="E300" t="s">
        <v>10</v>
      </c>
      <c r="F300" t="str">
        <f t="shared" si="66"/>
        <v>R</v>
      </c>
      <c r="G300">
        <f t="shared" si="59"/>
        <v>0</v>
      </c>
      <c r="H300" t="s">
        <v>10</v>
      </c>
      <c r="I300" t="str">
        <f t="shared" si="67"/>
        <v>R</v>
      </c>
      <c r="J300" t="str">
        <f t="shared" si="68"/>
        <v>Yes</v>
      </c>
      <c r="K300">
        <f t="shared" si="60"/>
        <v>1</v>
      </c>
      <c r="L300" t="str">
        <f t="shared" si="69"/>
        <v>Yes</v>
      </c>
      <c r="M300">
        <f t="shared" si="61"/>
        <v>1</v>
      </c>
      <c r="N300" t="s">
        <v>462</v>
      </c>
      <c r="O300" t="s">
        <v>463</v>
      </c>
      <c r="P300" t="s">
        <v>191</v>
      </c>
      <c r="Q300" t="s">
        <v>74</v>
      </c>
    </row>
    <row r="301" spans="1:17" x14ac:dyDescent="0.3">
      <c r="A301" t="s">
        <v>593</v>
      </c>
      <c r="B301" t="s">
        <v>616</v>
      </c>
      <c r="C301" t="s">
        <v>595</v>
      </c>
      <c r="D301" t="s">
        <v>617</v>
      </c>
      <c r="E301" t="s">
        <v>10</v>
      </c>
      <c r="F301" t="str">
        <f t="shared" si="66"/>
        <v>R</v>
      </c>
      <c r="G301">
        <f t="shared" si="59"/>
        <v>0</v>
      </c>
      <c r="H301" t="s">
        <v>144</v>
      </c>
      <c r="I301" t="s">
        <v>144</v>
      </c>
      <c r="J301" t="str">
        <f t="shared" si="68"/>
        <v>No</v>
      </c>
      <c r="K301">
        <f t="shared" si="60"/>
        <v>0</v>
      </c>
      <c r="L301" t="str">
        <f t="shared" si="69"/>
        <v>No</v>
      </c>
      <c r="M301">
        <f t="shared" si="61"/>
        <v>0</v>
      </c>
      <c r="N301" t="s">
        <v>462</v>
      </c>
      <c r="O301" t="s">
        <v>463</v>
      </c>
      <c r="P301" t="s">
        <v>191</v>
      </c>
      <c r="Q301" t="s">
        <v>74</v>
      </c>
    </row>
    <row r="302" spans="1:17" x14ac:dyDescent="0.3">
      <c r="A302" t="s">
        <v>555</v>
      </c>
      <c r="B302" t="s">
        <v>618</v>
      </c>
      <c r="C302" t="s">
        <v>557</v>
      </c>
      <c r="D302" t="s">
        <v>619</v>
      </c>
      <c r="E302" t="s">
        <v>172</v>
      </c>
      <c r="F302" t="str">
        <f>IF(E302="R", "R", "CS")</f>
        <v>CS</v>
      </c>
      <c r="G302">
        <f t="shared" si="59"/>
        <v>1</v>
      </c>
      <c r="H302" t="s">
        <v>10</v>
      </c>
      <c r="I302" t="str">
        <f>IF(H302="R", "R", "CS")</f>
        <v>R</v>
      </c>
      <c r="J302" t="str">
        <f>IF(F302=I302, "Yes", "No")</f>
        <v>No</v>
      </c>
      <c r="K302">
        <f t="shared" si="60"/>
        <v>0</v>
      </c>
      <c r="L302" t="str">
        <f>IF(E302=H302, "Yes", "No")</f>
        <v>No</v>
      </c>
      <c r="M302">
        <f t="shared" si="61"/>
        <v>0</v>
      </c>
      <c r="N302" t="s">
        <v>462</v>
      </c>
      <c r="O302" t="s">
        <v>463</v>
      </c>
      <c r="P302" t="s">
        <v>191</v>
      </c>
      <c r="Q302" t="s">
        <v>95</v>
      </c>
    </row>
    <row r="303" spans="1:17" x14ac:dyDescent="0.3">
      <c r="A303" t="s">
        <v>559</v>
      </c>
      <c r="B303" t="s">
        <v>620</v>
      </c>
      <c r="C303" t="s">
        <v>561</v>
      </c>
      <c r="D303" t="s">
        <v>600</v>
      </c>
      <c r="E303" t="s">
        <v>10</v>
      </c>
      <c r="F303" t="str">
        <f t="shared" ref="F303:F313" si="70">IF(E303="R", "R", "CS")</f>
        <v>R</v>
      </c>
      <c r="G303">
        <f t="shared" si="59"/>
        <v>0</v>
      </c>
      <c r="H303" t="s">
        <v>10</v>
      </c>
      <c r="I303" t="str">
        <f t="shared" ref="I303:I313" si="71">IF(H303="R", "R", "CS")</f>
        <v>R</v>
      </c>
      <c r="J303" t="str">
        <f t="shared" ref="J303:J313" si="72">IF(F303=I303, "Yes", "No")</f>
        <v>Yes</v>
      </c>
      <c r="K303">
        <f t="shared" si="60"/>
        <v>1</v>
      </c>
      <c r="L303" t="str">
        <f t="shared" ref="L303:L313" si="73">IF(E303=H303, "Yes", "No")</f>
        <v>Yes</v>
      </c>
      <c r="M303">
        <f t="shared" si="61"/>
        <v>1</v>
      </c>
      <c r="N303" t="s">
        <v>462</v>
      </c>
      <c r="O303" t="s">
        <v>463</v>
      </c>
      <c r="P303" t="s">
        <v>191</v>
      </c>
      <c r="Q303" t="s">
        <v>95</v>
      </c>
    </row>
    <row r="304" spans="1:17" x14ac:dyDescent="0.3">
      <c r="A304" t="s">
        <v>559</v>
      </c>
      <c r="B304" t="s">
        <v>620</v>
      </c>
      <c r="C304" t="s">
        <v>563</v>
      </c>
      <c r="D304" t="s">
        <v>621</v>
      </c>
      <c r="E304" t="s">
        <v>59</v>
      </c>
      <c r="F304" t="str">
        <f t="shared" si="70"/>
        <v>CS</v>
      </c>
      <c r="G304">
        <f t="shared" si="59"/>
        <v>1</v>
      </c>
      <c r="H304" t="s">
        <v>10</v>
      </c>
      <c r="I304" t="str">
        <f t="shared" si="71"/>
        <v>R</v>
      </c>
      <c r="J304" t="str">
        <f t="shared" si="72"/>
        <v>No</v>
      </c>
      <c r="K304">
        <f t="shared" si="60"/>
        <v>0</v>
      </c>
      <c r="L304" t="str">
        <f t="shared" si="73"/>
        <v>No</v>
      </c>
      <c r="M304">
        <f t="shared" si="61"/>
        <v>0</v>
      </c>
      <c r="N304" t="s">
        <v>462</v>
      </c>
      <c r="O304" t="s">
        <v>463</v>
      </c>
      <c r="P304" t="s">
        <v>191</v>
      </c>
      <c r="Q304" t="s">
        <v>95</v>
      </c>
    </row>
    <row r="305" spans="1:17" x14ac:dyDescent="0.3">
      <c r="A305" t="s">
        <v>565</v>
      </c>
      <c r="B305" t="s">
        <v>622</v>
      </c>
      <c r="C305" t="s">
        <v>567</v>
      </c>
      <c r="D305" t="s">
        <v>623</v>
      </c>
      <c r="E305" t="s">
        <v>172</v>
      </c>
      <c r="F305" t="str">
        <f t="shared" si="70"/>
        <v>CS</v>
      </c>
      <c r="G305">
        <f t="shared" si="59"/>
        <v>1</v>
      </c>
      <c r="H305" t="s">
        <v>25</v>
      </c>
      <c r="I305" t="str">
        <f t="shared" si="71"/>
        <v>CS</v>
      </c>
      <c r="J305" t="str">
        <f t="shared" si="72"/>
        <v>Yes</v>
      </c>
      <c r="K305">
        <f t="shared" si="60"/>
        <v>1</v>
      </c>
      <c r="L305" t="str">
        <f t="shared" si="73"/>
        <v>No</v>
      </c>
      <c r="M305">
        <f t="shared" si="61"/>
        <v>0</v>
      </c>
      <c r="N305" t="s">
        <v>462</v>
      </c>
      <c r="O305" t="s">
        <v>463</v>
      </c>
      <c r="P305" t="s">
        <v>191</v>
      </c>
      <c r="Q305" t="s">
        <v>95</v>
      </c>
    </row>
    <row r="306" spans="1:17" x14ac:dyDescent="0.3">
      <c r="A306" t="s">
        <v>565</v>
      </c>
      <c r="B306" t="s">
        <v>622</v>
      </c>
      <c r="C306" t="s">
        <v>569</v>
      </c>
      <c r="D306" t="s">
        <v>624</v>
      </c>
      <c r="E306" t="s">
        <v>44</v>
      </c>
      <c r="F306" t="str">
        <f t="shared" si="70"/>
        <v>CS</v>
      </c>
      <c r="G306">
        <f t="shared" si="59"/>
        <v>1</v>
      </c>
      <c r="H306" t="s">
        <v>144</v>
      </c>
      <c r="I306" t="s">
        <v>144</v>
      </c>
      <c r="J306" t="str">
        <f t="shared" si="72"/>
        <v>No</v>
      </c>
      <c r="K306">
        <f t="shared" si="60"/>
        <v>0</v>
      </c>
      <c r="L306" t="str">
        <f t="shared" si="73"/>
        <v>No</v>
      </c>
      <c r="M306">
        <f t="shared" si="61"/>
        <v>0</v>
      </c>
      <c r="N306" t="s">
        <v>462</v>
      </c>
      <c r="O306" t="s">
        <v>463</v>
      </c>
      <c r="P306" t="s">
        <v>191</v>
      </c>
      <c r="Q306" t="s">
        <v>95</v>
      </c>
    </row>
    <row r="307" spans="1:17" x14ac:dyDescent="0.3">
      <c r="A307" t="s">
        <v>571</v>
      </c>
      <c r="B307" t="s">
        <v>625</v>
      </c>
      <c r="C307" t="s">
        <v>573</v>
      </c>
      <c r="D307" t="s">
        <v>626</v>
      </c>
      <c r="E307" t="s">
        <v>44</v>
      </c>
      <c r="F307" t="str">
        <f t="shared" si="70"/>
        <v>CS</v>
      </c>
      <c r="G307">
        <f t="shared" si="59"/>
        <v>1</v>
      </c>
      <c r="H307" t="s">
        <v>144</v>
      </c>
      <c r="I307" t="s">
        <v>144</v>
      </c>
      <c r="J307" t="str">
        <f t="shared" si="72"/>
        <v>No</v>
      </c>
      <c r="K307">
        <f t="shared" si="60"/>
        <v>0</v>
      </c>
      <c r="L307" t="str">
        <f t="shared" si="73"/>
        <v>No</v>
      </c>
      <c r="M307">
        <f t="shared" si="61"/>
        <v>0</v>
      </c>
      <c r="N307" t="s">
        <v>462</v>
      </c>
      <c r="O307" t="s">
        <v>463</v>
      </c>
      <c r="P307" t="s">
        <v>191</v>
      </c>
      <c r="Q307" t="s">
        <v>95</v>
      </c>
    </row>
    <row r="308" spans="1:17" x14ac:dyDescent="0.3">
      <c r="A308" t="s">
        <v>575</v>
      </c>
      <c r="B308" t="s">
        <v>627</v>
      </c>
      <c r="C308" t="s">
        <v>577</v>
      </c>
      <c r="D308" t="s">
        <v>628</v>
      </c>
      <c r="E308" t="s">
        <v>59</v>
      </c>
      <c r="F308" t="str">
        <f t="shared" si="70"/>
        <v>CS</v>
      </c>
      <c r="G308">
        <f t="shared" si="59"/>
        <v>1</v>
      </c>
      <c r="H308" t="s">
        <v>10</v>
      </c>
      <c r="I308" t="str">
        <f t="shared" si="71"/>
        <v>R</v>
      </c>
      <c r="J308" t="str">
        <f t="shared" si="72"/>
        <v>No</v>
      </c>
      <c r="K308">
        <f t="shared" si="60"/>
        <v>0</v>
      </c>
      <c r="L308" t="str">
        <f t="shared" si="73"/>
        <v>No</v>
      </c>
      <c r="M308">
        <f t="shared" si="61"/>
        <v>0</v>
      </c>
      <c r="N308" t="s">
        <v>462</v>
      </c>
      <c r="O308" t="s">
        <v>463</v>
      </c>
      <c r="P308" t="s">
        <v>191</v>
      </c>
      <c r="Q308" t="s">
        <v>95</v>
      </c>
    </row>
    <row r="309" spans="1:17" x14ac:dyDescent="0.3">
      <c r="A309" t="s">
        <v>579</v>
      </c>
      <c r="B309" t="s">
        <v>629</v>
      </c>
      <c r="C309" t="s">
        <v>581</v>
      </c>
      <c r="D309" t="s">
        <v>610</v>
      </c>
      <c r="E309" t="s">
        <v>10</v>
      </c>
      <c r="F309" t="str">
        <f t="shared" si="70"/>
        <v>R</v>
      </c>
      <c r="G309">
        <f t="shared" si="59"/>
        <v>0</v>
      </c>
      <c r="H309" t="s">
        <v>10</v>
      </c>
      <c r="I309" t="str">
        <f t="shared" si="71"/>
        <v>R</v>
      </c>
      <c r="J309" t="str">
        <f t="shared" si="72"/>
        <v>Yes</v>
      </c>
      <c r="K309">
        <f t="shared" si="60"/>
        <v>1</v>
      </c>
      <c r="L309" t="str">
        <f t="shared" si="73"/>
        <v>Yes</v>
      </c>
      <c r="M309">
        <f t="shared" si="61"/>
        <v>1</v>
      </c>
      <c r="N309" t="s">
        <v>462</v>
      </c>
      <c r="O309" t="s">
        <v>463</v>
      </c>
      <c r="P309" t="s">
        <v>191</v>
      </c>
      <c r="Q309" t="s">
        <v>95</v>
      </c>
    </row>
    <row r="310" spans="1:17" x14ac:dyDescent="0.3">
      <c r="A310" t="s">
        <v>583</v>
      </c>
      <c r="B310" t="s">
        <v>630</v>
      </c>
      <c r="C310" t="s">
        <v>585</v>
      </c>
      <c r="D310" t="s">
        <v>631</v>
      </c>
      <c r="E310" t="s">
        <v>59</v>
      </c>
      <c r="F310" t="str">
        <f t="shared" si="70"/>
        <v>CS</v>
      </c>
      <c r="G310">
        <f t="shared" si="59"/>
        <v>1</v>
      </c>
      <c r="H310" t="s">
        <v>10</v>
      </c>
      <c r="I310" t="str">
        <f t="shared" si="71"/>
        <v>R</v>
      </c>
      <c r="J310" t="str">
        <f t="shared" si="72"/>
        <v>No</v>
      </c>
      <c r="K310">
        <f t="shared" si="60"/>
        <v>0</v>
      </c>
      <c r="L310" t="str">
        <f t="shared" si="73"/>
        <v>No</v>
      </c>
      <c r="M310">
        <f t="shared" si="61"/>
        <v>0</v>
      </c>
      <c r="N310" t="s">
        <v>462</v>
      </c>
      <c r="O310" t="s">
        <v>463</v>
      </c>
      <c r="P310" t="s">
        <v>191</v>
      </c>
      <c r="Q310" t="s">
        <v>95</v>
      </c>
    </row>
    <row r="311" spans="1:17" x14ac:dyDescent="0.3">
      <c r="A311" t="s">
        <v>583</v>
      </c>
      <c r="B311" t="s">
        <v>630</v>
      </c>
      <c r="C311" t="s">
        <v>587</v>
      </c>
      <c r="D311" t="s">
        <v>632</v>
      </c>
      <c r="E311" t="s">
        <v>59</v>
      </c>
      <c r="F311" t="str">
        <f t="shared" si="70"/>
        <v>CS</v>
      </c>
      <c r="G311">
        <f t="shared" si="59"/>
        <v>1</v>
      </c>
      <c r="H311" t="s">
        <v>59</v>
      </c>
      <c r="I311" t="str">
        <f t="shared" si="71"/>
        <v>CS</v>
      </c>
      <c r="J311" t="str">
        <f t="shared" si="72"/>
        <v>Yes</v>
      </c>
      <c r="K311">
        <f t="shared" si="60"/>
        <v>1</v>
      </c>
      <c r="L311" t="str">
        <f t="shared" si="73"/>
        <v>Yes</v>
      </c>
      <c r="M311">
        <f t="shared" si="61"/>
        <v>1</v>
      </c>
      <c r="N311" t="s">
        <v>462</v>
      </c>
      <c r="O311" t="s">
        <v>463</v>
      </c>
      <c r="P311" t="s">
        <v>191</v>
      </c>
      <c r="Q311" t="s">
        <v>95</v>
      </c>
    </row>
    <row r="312" spans="1:17" x14ac:dyDescent="0.3">
      <c r="A312" t="s">
        <v>589</v>
      </c>
      <c r="B312" t="s">
        <v>633</v>
      </c>
      <c r="C312" t="s">
        <v>591</v>
      </c>
      <c r="D312" t="s">
        <v>634</v>
      </c>
      <c r="E312" t="s">
        <v>59</v>
      </c>
      <c r="F312" t="str">
        <f t="shared" si="70"/>
        <v>CS</v>
      </c>
      <c r="G312">
        <f t="shared" si="59"/>
        <v>1</v>
      </c>
      <c r="H312" t="s">
        <v>10</v>
      </c>
      <c r="I312" t="str">
        <f t="shared" si="71"/>
        <v>R</v>
      </c>
      <c r="J312" t="str">
        <f t="shared" si="72"/>
        <v>No</v>
      </c>
      <c r="K312">
        <f t="shared" si="60"/>
        <v>0</v>
      </c>
      <c r="L312" t="str">
        <f t="shared" si="73"/>
        <v>No</v>
      </c>
      <c r="M312">
        <f t="shared" si="61"/>
        <v>0</v>
      </c>
      <c r="N312" t="s">
        <v>462</v>
      </c>
      <c r="O312" t="s">
        <v>463</v>
      </c>
      <c r="P312" t="s">
        <v>191</v>
      </c>
      <c r="Q312" t="s">
        <v>95</v>
      </c>
    </row>
    <row r="313" spans="1:17" x14ac:dyDescent="0.3">
      <c r="A313" t="s">
        <v>593</v>
      </c>
      <c r="B313" t="s">
        <v>635</v>
      </c>
      <c r="C313" t="s">
        <v>595</v>
      </c>
      <c r="D313" t="s">
        <v>636</v>
      </c>
      <c r="E313" t="s">
        <v>59</v>
      </c>
      <c r="F313" t="str">
        <f t="shared" si="70"/>
        <v>CS</v>
      </c>
      <c r="G313">
        <f t="shared" si="59"/>
        <v>1</v>
      </c>
      <c r="H313" t="s">
        <v>10</v>
      </c>
      <c r="I313" t="str">
        <f t="shared" si="71"/>
        <v>R</v>
      </c>
      <c r="J313" t="str">
        <f t="shared" si="72"/>
        <v>No</v>
      </c>
      <c r="K313">
        <f t="shared" si="60"/>
        <v>0</v>
      </c>
      <c r="L313" t="str">
        <f t="shared" si="73"/>
        <v>No</v>
      </c>
      <c r="M313">
        <f t="shared" si="61"/>
        <v>0</v>
      </c>
      <c r="N313" t="s">
        <v>462</v>
      </c>
      <c r="O313" t="s">
        <v>463</v>
      </c>
      <c r="P313" t="s">
        <v>191</v>
      </c>
      <c r="Q313" t="s">
        <v>95</v>
      </c>
    </row>
    <row r="314" spans="1:17" x14ac:dyDescent="0.3">
      <c r="A314" t="s">
        <v>638</v>
      </c>
      <c r="B314" t="s">
        <v>639</v>
      </c>
      <c r="C314" t="s">
        <v>640</v>
      </c>
      <c r="D314" t="s">
        <v>641</v>
      </c>
      <c r="E314" t="s">
        <v>10</v>
      </c>
      <c r="F314" t="str">
        <f>IF(E314="R", "R", "CS")</f>
        <v>R</v>
      </c>
      <c r="G314">
        <f t="shared" si="59"/>
        <v>0</v>
      </c>
      <c r="H314" t="s">
        <v>10</v>
      </c>
      <c r="I314" t="str">
        <f>IF(H314="R", "R", "CS")</f>
        <v>R</v>
      </c>
      <c r="J314" t="str">
        <f>IF(F314=I314, "Yes", "No")</f>
        <v>Yes</v>
      </c>
      <c r="K314">
        <f t="shared" si="60"/>
        <v>1</v>
      </c>
      <c r="L314" t="str">
        <f>IF(E314=H314, "Yes", "No")</f>
        <v>Yes</v>
      </c>
      <c r="M314">
        <f t="shared" si="61"/>
        <v>1</v>
      </c>
      <c r="N314" t="s">
        <v>462</v>
      </c>
      <c r="O314" t="s">
        <v>463</v>
      </c>
      <c r="P314" t="s">
        <v>637</v>
      </c>
      <c r="Q314" t="s">
        <v>3</v>
      </c>
    </row>
    <row r="315" spans="1:17" x14ac:dyDescent="0.3">
      <c r="A315" t="s">
        <v>642</v>
      </c>
      <c r="B315" t="s">
        <v>643</v>
      </c>
      <c r="C315" t="s">
        <v>644</v>
      </c>
      <c r="D315" t="s">
        <v>645</v>
      </c>
      <c r="E315" t="s">
        <v>10</v>
      </c>
      <c r="F315" t="str">
        <f t="shared" ref="F315:F330" si="74">IF(E315="R", "R", "CS")</f>
        <v>R</v>
      </c>
      <c r="G315">
        <f t="shared" si="59"/>
        <v>0</v>
      </c>
      <c r="H315" t="s">
        <v>25</v>
      </c>
      <c r="I315" t="str">
        <f t="shared" ref="I315:I330" si="75">IF(H315="R", "R", "CS")</f>
        <v>CS</v>
      </c>
      <c r="J315" t="str">
        <f t="shared" ref="J315:J330" si="76">IF(F315=I315, "Yes", "No")</f>
        <v>No</v>
      </c>
      <c r="K315">
        <f t="shared" si="60"/>
        <v>0</v>
      </c>
      <c r="L315" t="str">
        <f t="shared" ref="L315:L330" si="77">IF(E315=H315, "Yes", "No")</f>
        <v>No</v>
      </c>
      <c r="M315">
        <f t="shared" si="61"/>
        <v>0</v>
      </c>
      <c r="N315" t="s">
        <v>462</v>
      </c>
      <c r="O315" t="s">
        <v>463</v>
      </c>
      <c r="P315" t="s">
        <v>637</v>
      </c>
      <c r="Q315" t="s">
        <v>3</v>
      </c>
    </row>
    <row r="316" spans="1:17" x14ac:dyDescent="0.3">
      <c r="A316" t="s">
        <v>642</v>
      </c>
      <c r="B316" t="s">
        <v>643</v>
      </c>
      <c r="C316" t="s">
        <v>646</v>
      </c>
      <c r="D316" t="s">
        <v>647</v>
      </c>
      <c r="E316" t="s">
        <v>10</v>
      </c>
      <c r="F316" t="str">
        <f t="shared" si="74"/>
        <v>R</v>
      </c>
      <c r="G316">
        <f t="shared" si="59"/>
        <v>0</v>
      </c>
      <c r="H316" t="s">
        <v>10</v>
      </c>
      <c r="I316" t="str">
        <f t="shared" si="75"/>
        <v>R</v>
      </c>
      <c r="J316" t="str">
        <f t="shared" si="76"/>
        <v>Yes</v>
      </c>
      <c r="K316">
        <f t="shared" si="60"/>
        <v>1</v>
      </c>
      <c r="L316" t="str">
        <f t="shared" si="77"/>
        <v>Yes</v>
      </c>
      <c r="M316">
        <f t="shared" si="61"/>
        <v>1</v>
      </c>
      <c r="N316" t="s">
        <v>462</v>
      </c>
      <c r="O316" t="s">
        <v>463</v>
      </c>
      <c r="P316" t="s">
        <v>637</v>
      </c>
      <c r="Q316" t="s">
        <v>3</v>
      </c>
    </row>
    <row r="317" spans="1:17" x14ac:dyDescent="0.3">
      <c r="A317" t="s">
        <v>648</v>
      </c>
      <c r="B317" t="s">
        <v>649</v>
      </c>
      <c r="C317" t="s">
        <v>650</v>
      </c>
      <c r="D317" t="s">
        <v>651</v>
      </c>
      <c r="E317" t="s">
        <v>59</v>
      </c>
      <c r="F317" t="str">
        <f t="shared" si="74"/>
        <v>CS</v>
      </c>
      <c r="G317">
        <f t="shared" si="59"/>
        <v>1</v>
      </c>
      <c r="H317" t="s">
        <v>10</v>
      </c>
      <c r="I317" t="str">
        <f t="shared" si="75"/>
        <v>R</v>
      </c>
      <c r="J317" t="str">
        <f t="shared" si="76"/>
        <v>No</v>
      </c>
      <c r="K317">
        <f t="shared" si="60"/>
        <v>0</v>
      </c>
      <c r="L317" t="str">
        <f t="shared" si="77"/>
        <v>No</v>
      </c>
      <c r="M317">
        <f t="shared" si="61"/>
        <v>0</v>
      </c>
      <c r="N317" t="s">
        <v>462</v>
      </c>
      <c r="O317" t="s">
        <v>463</v>
      </c>
      <c r="P317" t="s">
        <v>637</v>
      </c>
      <c r="Q317" t="s">
        <v>3</v>
      </c>
    </row>
    <row r="318" spans="1:17" x14ac:dyDescent="0.3">
      <c r="A318" t="s">
        <v>648</v>
      </c>
      <c r="B318" t="s">
        <v>649</v>
      </c>
      <c r="C318" t="s">
        <v>652</v>
      </c>
      <c r="D318" t="s">
        <v>653</v>
      </c>
      <c r="E318" t="s">
        <v>59</v>
      </c>
      <c r="F318" t="str">
        <f t="shared" si="74"/>
        <v>CS</v>
      </c>
      <c r="G318">
        <f t="shared" si="59"/>
        <v>1</v>
      </c>
      <c r="H318" t="s">
        <v>10</v>
      </c>
      <c r="I318" t="str">
        <f t="shared" si="75"/>
        <v>R</v>
      </c>
      <c r="J318" t="str">
        <f t="shared" si="76"/>
        <v>No</v>
      </c>
      <c r="K318">
        <f t="shared" si="60"/>
        <v>0</v>
      </c>
      <c r="L318" t="str">
        <f t="shared" si="77"/>
        <v>No</v>
      </c>
      <c r="M318">
        <f t="shared" si="61"/>
        <v>0</v>
      </c>
      <c r="N318" t="s">
        <v>462</v>
      </c>
      <c r="O318" t="s">
        <v>463</v>
      </c>
      <c r="P318" t="s">
        <v>637</v>
      </c>
      <c r="Q318" t="s">
        <v>3</v>
      </c>
    </row>
    <row r="319" spans="1:17" x14ac:dyDescent="0.3">
      <c r="A319" t="s">
        <v>648</v>
      </c>
      <c r="B319" t="s">
        <v>649</v>
      </c>
      <c r="C319" t="s">
        <v>654</v>
      </c>
      <c r="D319" t="s">
        <v>655</v>
      </c>
      <c r="E319" t="s">
        <v>10</v>
      </c>
      <c r="F319" t="str">
        <f t="shared" si="74"/>
        <v>R</v>
      </c>
      <c r="G319">
        <f t="shared" si="59"/>
        <v>0</v>
      </c>
      <c r="H319" t="s">
        <v>10</v>
      </c>
      <c r="I319" t="str">
        <f t="shared" si="75"/>
        <v>R</v>
      </c>
      <c r="J319" t="str">
        <f t="shared" si="76"/>
        <v>Yes</v>
      </c>
      <c r="K319">
        <f t="shared" si="60"/>
        <v>1</v>
      </c>
      <c r="L319" t="str">
        <f t="shared" si="77"/>
        <v>Yes</v>
      </c>
      <c r="M319">
        <f t="shared" si="61"/>
        <v>1</v>
      </c>
      <c r="N319" t="s">
        <v>462</v>
      </c>
      <c r="O319" t="s">
        <v>463</v>
      </c>
      <c r="P319" t="s">
        <v>637</v>
      </c>
      <c r="Q319" t="s">
        <v>3</v>
      </c>
    </row>
    <row r="320" spans="1:17" x14ac:dyDescent="0.3">
      <c r="A320" t="s">
        <v>656</v>
      </c>
      <c r="B320" t="s">
        <v>657</v>
      </c>
      <c r="C320" t="s">
        <v>658</v>
      </c>
      <c r="D320" t="s">
        <v>659</v>
      </c>
      <c r="E320" t="s">
        <v>10</v>
      </c>
      <c r="F320" t="str">
        <f t="shared" si="74"/>
        <v>R</v>
      </c>
      <c r="G320">
        <f t="shared" si="59"/>
        <v>0</v>
      </c>
      <c r="H320" t="s">
        <v>10</v>
      </c>
      <c r="I320" t="str">
        <f t="shared" si="75"/>
        <v>R</v>
      </c>
      <c r="J320" t="str">
        <f t="shared" si="76"/>
        <v>Yes</v>
      </c>
      <c r="K320">
        <f t="shared" si="60"/>
        <v>1</v>
      </c>
      <c r="L320" t="str">
        <f t="shared" si="77"/>
        <v>Yes</v>
      </c>
      <c r="M320">
        <f t="shared" si="61"/>
        <v>1</v>
      </c>
      <c r="N320" t="s">
        <v>462</v>
      </c>
      <c r="O320" t="s">
        <v>463</v>
      </c>
      <c r="P320" t="s">
        <v>637</v>
      </c>
      <c r="Q320" t="s">
        <v>3</v>
      </c>
    </row>
    <row r="321" spans="1:17" x14ac:dyDescent="0.3">
      <c r="A321" t="s">
        <v>660</v>
      </c>
      <c r="B321" t="s">
        <v>661</v>
      </c>
      <c r="C321" t="s">
        <v>662</v>
      </c>
      <c r="D321" t="s">
        <v>663</v>
      </c>
      <c r="E321" t="s">
        <v>10</v>
      </c>
      <c r="F321" t="str">
        <f t="shared" si="74"/>
        <v>R</v>
      </c>
      <c r="G321">
        <f t="shared" si="59"/>
        <v>0</v>
      </c>
      <c r="H321" t="s">
        <v>10</v>
      </c>
      <c r="I321" t="str">
        <f t="shared" si="75"/>
        <v>R</v>
      </c>
      <c r="J321" t="str">
        <f t="shared" si="76"/>
        <v>Yes</v>
      </c>
      <c r="K321">
        <f t="shared" si="60"/>
        <v>1</v>
      </c>
      <c r="L321" t="str">
        <f t="shared" si="77"/>
        <v>Yes</v>
      </c>
      <c r="M321">
        <f t="shared" si="61"/>
        <v>1</v>
      </c>
      <c r="N321" t="s">
        <v>462</v>
      </c>
      <c r="O321" t="s">
        <v>463</v>
      </c>
      <c r="P321" t="s">
        <v>637</v>
      </c>
      <c r="Q321" t="s">
        <v>3</v>
      </c>
    </row>
    <row r="322" spans="1:17" x14ac:dyDescent="0.3">
      <c r="A322" t="s">
        <v>660</v>
      </c>
      <c r="B322" t="s">
        <v>661</v>
      </c>
      <c r="C322" t="s">
        <v>664</v>
      </c>
      <c r="D322" t="s">
        <v>665</v>
      </c>
      <c r="E322" t="s">
        <v>10</v>
      </c>
      <c r="F322" t="str">
        <f t="shared" si="74"/>
        <v>R</v>
      </c>
      <c r="G322">
        <f t="shared" si="59"/>
        <v>0</v>
      </c>
      <c r="H322" t="s">
        <v>10</v>
      </c>
      <c r="I322" t="str">
        <f t="shared" si="75"/>
        <v>R</v>
      </c>
      <c r="J322" t="str">
        <f t="shared" si="76"/>
        <v>Yes</v>
      </c>
      <c r="K322">
        <f t="shared" si="60"/>
        <v>1</v>
      </c>
      <c r="L322" t="str">
        <f t="shared" si="77"/>
        <v>Yes</v>
      </c>
      <c r="M322">
        <f t="shared" si="61"/>
        <v>1</v>
      </c>
      <c r="N322" t="s">
        <v>462</v>
      </c>
      <c r="O322" t="s">
        <v>463</v>
      </c>
      <c r="P322" t="s">
        <v>637</v>
      </c>
      <c r="Q322" t="s">
        <v>3</v>
      </c>
    </row>
    <row r="323" spans="1:17" x14ac:dyDescent="0.3">
      <c r="A323" t="s">
        <v>666</v>
      </c>
      <c r="B323" t="s">
        <v>667</v>
      </c>
      <c r="C323" t="s">
        <v>668</v>
      </c>
      <c r="D323" t="s">
        <v>669</v>
      </c>
      <c r="E323" t="s">
        <v>10</v>
      </c>
      <c r="F323" t="str">
        <f t="shared" si="74"/>
        <v>R</v>
      </c>
      <c r="G323">
        <f t="shared" ref="G323:G386" si="78">IF(F323="R",0,(IF(F323="CS",1,"HELP")))</f>
        <v>0</v>
      </c>
      <c r="H323" t="s">
        <v>59</v>
      </c>
      <c r="I323" t="str">
        <f t="shared" si="75"/>
        <v>CS</v>
      </c>
      <c r="J323" t="str">
        <f t="shared" si="76"/>
        <v>No</v>
      </c>
      <c r="K323">
        <f t="shared" ref="K323:K386" si="79">IF(J323="Yes", 1, 0)</f>
        <v>0</v>
      </c>
      <c r="L323" t="str">
        <f t="shared" si="77"/>
        <v>No</v>
      </c>
      <c r="M323">
        <f t="shared" ref="M323:M386" si="80">IF(L323="Yes", 1, 0)</f>
        <v>0</v>
      </c>
      <c r="N323" t="s">
        <v>462</v>
      </c>
      <c r="O323" t="s">
        <v>463</v>
      </c>
      <c r="P323" t="s">
        <v>637</v>
      </c>
      <c r="Q323" t="s">
        <v>3</v>
      </c>
    </row>
    <row r="324" spans="1:17" x14ac:dyDescent="0.3">
      <c r="A324" t="s">
        <v>666</v>
      </c>
      <c r="B324" t="s">
        <v>667</v>
      </c>
      <c r="C324" t="s">
        <v>670</v>
      </c>
      <c r="D324" t="s">
        <v>671</v>
      </c>
      <c r="E324" t="s">
        <v>10</v>
      </c>
      <c r="F324" t="str">
        <f t="shared" si="74"/>
        <v>R</v>
      </c>
      <c r="G324">
        <f t="shared" si="78"/>
        <v>0</v>
      </c>
      <c r="H324" t="s">
        <v>25</v>
      </c>
      <c r="I324" t="str">
        <f t="shared" si="75"/>
        <v>CS</v>
      </c>
      <c r="J324" t="str">
        <f t="shared" si="76"/>
        <v>No</v>
      </c>
      <c r="K324">
        <f t="shared" si="79"/>
        <v>0</v>
      </c>
      <c r="L324" t="str">
        <f t="shared" si="77"/>
        <v>No</v>
      </c>
      <c r="M324">
        <f t="shared" si="80"/>
        <v>0</v>
      </c>
      <c r="N324" t="s">
        <v>462</v>
      </c>
      <c r="O324" t="s">
        <v>463</v>
      </c>
      <c r="P324" t="s">
        <v>637</v>
      </c>
      <c r="Q324" t="s">
        <v>3</v>
      </c>
    </row>
    <row r="325" spans="1:17" x14ac:dyDescent="0.3">
      <c r="A325" t="s">
        <v>672</v>
      </c>
      <c r="B325" t="s">
        <v>673</v>
      </c>
      <c r="C325" t="s">
        <v>674</v>
      </c>
      <c r="D325" t="s">
        <v>675</v>
      </c>
      <c r="E325" t="s">
        <v>10</v>
      </c>
      <c r="F325" t="str">
        <f t="shared" si="74"/>
        <v>R</v>
      </c>
      <c r="G325">
        <f t="shared" si="78"/>
        <v>0</v>
      </c>
      <c r="H325" t="s">
        <v>59</v>
      </c>
      <c r="I325" t="str">
        <f t="shared" si="75"/>
        <v>CS</v>
      </c>
      <c r="J325" t="str">
        <f t="shared" si="76"/>
        <v>No</v>
      </c>
      <c r="K325">
        <f t="shared" si="79"/>
        <v>0</v>
      </c>
      <c r="L325" t="str">
        <f t="shared" si="77"/>
        <v>No</v>
      </c>
      <c r="M325">
        <f t="shared" si="80"/>
        <v>0</v>
      </c>
      <c r="N325" t="s">
        <v>462</v>
      </c>
      <c r="O325" t="s">
        <v>463</v>
      </c>
      <c r="P325" t="s">
        <v>637</v>
      </c>
      <c r="Q325" t="s">
        <v>3</v>
      </c>
    </row>
    <row r="326" spans="1:17" x14ac:dyDescent="0.3">
      <c r="A326" t="s">
        <v>676</v>
      </c>
      <c r="B326" t="s">
        <v>677</v>
      </c>
      <c r="C326" t="s">
        <v>678</v>
      </c>
      <c r="D326" t="s">
        <v>679</v>
      </c>
      <c r="E326" t="s">
        <v>10</v>
      </c>
      <c r="F326" t="str">
        <f t="shared" si="74"/>
        <v>R</v>
      </c>
      <c r="G326">
        <f t="shared" si="78"/>
        <v>0</v>
      </c>
      <c r="H326" t="s">
        <v>59</v>
      </c>
      <c r="I326" t="str">
        <f t="shared" si="75"/>
        <v>CS</v>
      </c>
      <c r="J326" t="str">
        <f t="shared" si="76"/>
        <v>No</v>
      </c>
      <c r="K326">
        <f t="shared" si="79"/>
        <v>0</v>
      </c>
      <c r="L326" t="str">
        <f t="shared" si="77"/>
        <v>No</v>
      </c>
      <c r="M326">
        <f t="shared" si="80"/>
        <v>0</v>
      </c>
      <c r="N326" t="s">
        <v>462</v>
      </c>
      <c r="O326" t="s">
        <v>463</v>
      </c>
      <c r="P326" t="s">
        <v>637</v>
      </c>
      <c r="Q326" t="s">
        <v>3</v>
      </c>
    </row>
    <row r="327" spans="1:17" x14ac:dyDescent="0.3">
      <c r="A327" t="s">
        <v>680</v>
      </c>
      <c r="B327" t="s">
        <v>681</v>
      </c>
      <c r="C327" t="s">
        <v>682</v>
      </c>
      <c r="D327" t="s">
        <v>683</v>
      </c>
      <c r="E327" t="s">
        <v>59</v>
      </c>
      <c r="F327" t="str">
        <f t="shared" si="74"/>
        <v>CS</v>
      </c>
      <c r="G327">
        <f t="shared" si="78"/>
        <v>1</v>
      </c>
      <c r="H327" t="s">
        <v>172</v>
      </c>
      <c r="I327" t="str">
        <f t="shared" si="75"/>
        <v>CS</v>
      </c>
      <c r="J327" t="str">
        <f t="shared" si="76"/>
        <v>Yes</v>
      </c>
      <c r="K327">
        <f t="shared" si="79"/>
        <v>1</v>
      </c>
      <c r="L327" t="str">
        <f t="shared" si="77"/>
        <v>No</v>
      </c>
      <c r="M327">
        <f t="shared" si="80"/>
        <v>0</v>
      </c>
      <c r="N327" t="s">
        <v>462</v>
      </c>
      <c r="O327" t="s">
        <v>463</v>
      </c>
      <c r="P327" t="s">
        <v>637</v>
      </c>
      <c r="Q327" t="s">
        <v>3</v>
      </c>
    </row>
    <row r="328" spans="1:17" x14ac:dyDescent="0.3">
      <c r="A328" t="s">
        <v>684</v>
      </c>
      <c r="B328" t="s">
        <v>685</v>
      </c>
      <c r="C328" t="s">
        <v>686</v>
      </c>
      <c r="D328" t="s">
        <v>687</v>
      </c>
      <c r="E328" t="s">
        <v>59</v>
      </c>
      <c r="F328" t="str">
        <f t="shared" si="74"/>
        <v>CS</v>
      </c>
      <c r="G328">
        <f t="shared" si="78"/>
        <v>1</v>
      </c>
      <c r="H328" t="s">
        <v>10</v>
      </c>
      <c r="I328" t="str">
        <f t="shared" si="75"/>
        <v>R</v>
      </c>
      <c r="J328" t="str">
        <f t="shared" si="76"/>
        <v>No</v>
      </c>
      <c r="K328">
        <f t="shared" si="79"/>
        <v>0</v>
      </c>
      <c r="L328" t="str">
        <f t="shared" si="77"/>
        <v>No</v>
      </c>
      <c r="M328">
        <f t="shared" si="80"/>
        <v>0</v>
      </c>
      <c r="N328" t="s">
        <v>462</v>
      </c>
      <c r="O328" t="s">
        <v>463</v>
      </c>
      <c r="P328" t="s">
        <v>637</v>
      </c>
      <c r="Q328" t="s">
        <v>3</v>
      </c>
    </row>
    <row r="329" spans="1:17" x14ac:dyDescent="0.3">
      <c r="A329" t="s">
        <v>688</v>
      </c>
      <c r="B329" t="s">
        <v>689</v>
      </c>
      <c r="C329" t="s">
        <v>690</v>
      </c>
      <c r="D329" t="s">
        <v>691</v>
      </c>
      <c r="E329" t="s">
        <v>10</v>
      </c>
      <c r="F329" t="str">
        <f t="shared" si="74"/>
        <v>R</v>
      </c>
      <c r="G329">
        <f t="shared" si="78"/>
        <v>0</v>
      </c>
      <c r="H329" t="s">
        <v>172</v>
      </c>
      <c r="I329" t="str">
        <f t="shared" si="75"/>
        <v>CS</v>
      </c>
      <c r="J329" t="str">
        <f t="shared" si="76"/>
        <v>No</v>
      </c>
      <c r="K329">
        <f t="shared" si="79"/>
        <v>0</v>
      </c>
      <c r="L329" t="str">
        <f t="shared" si="77"/>
        <v>No</v>
      </c>
      <c r="M329">
        <f t="shared" si="80"/>
        <v>0</v>
      </c>
      <c r="N329" t="s">
        <v>462</v>
      </c>
      <c r="O329" t="s">
        <v>463</v>
      </c>
      <c r="P329" t="s">
        <v>637</v>
      </c>
      <c r="Q329" t="s">
        <v>3</v>
      </c>
    </row>
    <row r="330" spans="1:17" x14ac:dyDescent="0.3">
      <c r="A330" t="s">
        <v>688</v>
      </c>
      <c r="B330" t="s">
        <v>689</v>
      </c>
      <c r="C330" t="s">
        <v>692</v>
      </c>
      <c r="D330" t="s">
        <v>693</v>
      </c>
      <c r="E330" t="s">
        <v>44</v>
      </c>
      <c r="F330" t="str">
        <f t="shared" si="74"/>
        <v>CS</v>
      </c>
      <c r="G330">
        <f t="shared" si="78"/>
        <v>1</v>
      </c>
      <c r="H330" t="s">
        <v>10</v>
      </c>
      <c r="I330" t="str">
        <f t="shared" si="75"/>
        <v>R</v>
      </c>
      <c r="J330" t="str">
        <f t="shared" si="76"/>
        <v>No</v>
      </c>
      <c r="K330">
        <f t="shared" si="79"/>
        <v>0</v>
      </c>
      <c r="L330" t="str">
        <f t="shared" si="77"/>
        <v>No</v>
      </c>
      <c r="M330">
        <f t="shared" si="80"/>
        <v>0</v>
      </c>
      <c r="N330" t="s">
        <v>462</v>
      </c>
      <c r="O330" t="s">
        <v>463</v>
      </c>
      <c r="P330" t="s">
        <v>637</v>
      </c>
      <c r="Q330" t="s">
        <v>3</v>
      </c>
    </row>
    <row r="331" spans="1:17" x14ac:dyDescent="0.3">
      <c r="A331" t="s">
        <v>638</v>
      </c>
      <c r="B331" t="s">
        <v>694</v>
      </c>
      <c r="C331" t="s">
        <v>640</v>
      </c>
      <c r="D331" t="s">
        <v>695</v>
      </c>
      <c r="E331" t="s">
        <v>10</v>
      </c>
      <c r="F331" t="str">
        <f>IF(E331="R", "R", "CS")</f>
        <v>R</v>
      </c>
      <c r="G331">
        <f t="shared" si="78"/>
        <v>0</v>
      </c>
      <c r="H331" t="s">
        <v>10</v>
      </c>
      <c r="I331" t="str">
        <f>IF(H331="R", "R", "CS")</f>
        <v>R</v>
      </c>
      <c r="J331" t="str">
        <f>IF(F331=I331, "Yes", "No")</f>
        <v>Yes</v>
      </c>
      <c r="K331">
        <f t="shared" si="79"/>
        <v>1</v>
      </c>
      <c r="L331" t="str">
        <f>IF(E331=H331, "Yes", "No")</f>
        <v>Yes</v>
      </c>
      <c r="M331">
        <f t="shared" si="80"/>
        <v>1</v>
      </c>
      <c r="N331" t="s">
        <v>462</v>
      </c>
      <c r="O331" t="s">
        <v>463</v>
      </c>
      <c r="P331" t="s">
        <v>637</v>
      </c>
      <c r="Q331" t="s">
        <v>74</v>
      </c>
    </row>
    <row r="332" spans="1:17" x14ac:dyDescent="0.3">
      <c r="A332" t="s">
        <v>642</v>
      </c>
      <c r="B332" t="s">
        <v>696</v>
      </c>
      <c r="C332" t="s">
        <v>644</v>
      </c>
      <c r="D332" t="s">
        <v>697</v>
      </c>
      <c r="E332" t="s">
        <v>10</v>
      </c>
      <c r="F332" t="str">
        <f t="shared" ref="F332:F347" si="81">IF(E332="R", "R", "CS")</f>
        <v>R</v>
      </c>
      <c r="G332">
        <f t="shared" si="78"/>
        <v>0</v>
      </c>
      <c r="H332" t="s">
        <v>25</v>
      </c>
      <c r="I332" t="str">
        <f t="shared" ref="I332:I347" si="82">IF(H332="R", "R", "CS")</f>
        <v>CS</v>
      </c>
      <c r="J332" t="str">
        <f t="shared" ref="J332:J347" si="83">IF(F332=I332, "Yes", "No")</f>
        <v>No</v>
      </c>
      <c r="K332">
        <f t="shared" si="79"/>
        <v>0</v>
      </c>
      <c r="L332" t="str">
        <f t="shared" ref="L332:L347" si="84">IF(E332=H332, "Yes", "No")</f>
        <v>No</v>
      </c>
      <c r="M332">
        <f t="shared" si="80"/>
        <v>0</v>
      </c>
      <c r="N332" t="s">
        <v>462</v>
      </c>
      <c r="O332" t="s">
        <v>463</v>
      </c>
      <c r="P332" t="s">
        <v>637</v>
      </c>
      <c r="Q332" t="s">
        <v>74</v>
      </c>
    </row>
    <row r="333" spans="1:17" x14ac:dyDescent="0.3">
      <c r="A333" t="s">
        <v>642</v>
      </c>
      <c r="B333" t="s">
        <v>696</v>
      </c>
      <c r="C333" t="s">
        <v>646</v>
      </c>
      <c r="D333" t="s">
        <v>647</v>
      </c>
      <c r="E333" t="s">
        <v>10</v>
      </c>
      <c r="F333" t="str">
        <f t="shared" si="81"/>
        <v>R</v>
      </c>
      <c r="G333">
        <f t="shared" si="78"/>
        <v>0</v>
      </c>
      <c r="H333" t="s">
        <v>10</v>
      </c>
      <c r="I333" t="str">
        <f t="shared" si="82"/>
        <v>R</v>
      </c>
      <c r="J333" t="str">
        <f t="shared" si="83"/>
        <v>Yes</v>
      </c>
      <c r="K333">
        <f t="shared" si="79"/>
        <v>1</v>
      </c>
      <c r="L333" t="str">
        <f t="shared" si="84"/>
        <v>Yes</v>
      </c>
      <c r="M333">
        <f t="shared" si="80"/>
        <v>1</v>
      </c>
      <c r="N333" t="s">
        <v>462</v>
      </c>
      <c r="O333" t="s">
        <v>463</v>
      </c>
      <c r="P333" t="s">
        <v>637</v>
      </c>
      <c r="Q333" t="s">
        <v>74</v>
      </c>
    </row>
    <row r="334" spans="1:17" x14ac:dyDescent="0.3">
      <c r="A334" t="s">
        <v>648</v>
      </c>
      <c r="B334" t="s">
        <v>698</v>
      </c>
      <c r="C334" t="s">
        <v>650</v>
      </c>
      <c r="D334" t="s">
        <v>699</v>
      </c>
      <c r="E334" t="s">
        <v>59</v>
      </c>
      <c r="F334" t="str">
        <f t="shared" si="81"/>
        <v>CS</v>
      </c>
      <c r="G334">
        <f t="shared" si="78"/>
        <v>1</v>
      </c>
      <c r="H334" t="s">
        <v>10</v>
      </c>
      <c r="I334" t="str">
        <f t="shared" si="82"/>
        <v>R</v>
      </c>
      <c r="J334" t="str">
        <f t="shared" si="83"/>
        <v>No</v>
      </c>
      <c r="K334">
        <f t="shared" si="79"/>
        <v>0</v>
      </c>
      <c r="L334" t="str">
        <f t="shared" si="84"/>
        <v>No</v>
      </c>
      <c r="M334">
        <f t="shared" si="80"/>
        <v>0</v>
      </c>
      <c r="N334" t="s">
        <v>462</v>
      </c>
      <c r="O334" t="s">
        <v>463</v>
      </c>
      <c r="P334" t="s">
        <v>637</v>
      </c>
      <c r="Q334" t="s">
        <v>74</v>
      </c>
    </row>
    <row r="335" spans="1:17" x14ac:dyDescent="0.3">
      <c r="A335" t="s">
        <v>648</v>
      </c>
      <c r="B335" t="s">
        <v>698</v>
      </c>
      <c r="C335" t="s">
        <v>652</v>
      </c>
      <c r="D335" t="s">
        <v>700</v>
      </c>
      <c r="E335" t="s">
        <v>59</v>
      </c>
      <c r="F335" t="str">
        <f t="shared" si="81"/>
        <v>CS</v>
      </c>
      <c r="G335">
        <f t="shared" si="78"/>
        <v>1</v>
      </c>
      <c r="H335" t="s">
        <v>59</v>
      </c>
      <c r="I335" t="str">
        <f t="shared" si="82"/>
        <v>CS</v>
      </c>
      <c r="J335" t="str">
        <f t="shared" si="83"/>
        <v>Yes</v>
      </c>
      <c r="K335">
        <f t="shared" si="79"/>
        <v>1</v>
      </c>
      <c r="L335" t="str">
        <f t="shared" si="84"/>
        <v>Yes</v>
      </c>
      <c r="M335">
        <f t="shared" si="80"/>
        <v>1</v>
      </c>
      <c r="N335" t="s">
        <v>462</v>
      </c>
      <c r="O335" t="s">
        <v>463</v>
      </c>
      <c r="P335" t="s">
        <v>637</v>
      </c>
      <c r="Q335" t="s">
        <v>74</v>
      </c>
    </row>
    <row r="336" spans="1:17" x14ac:dyDescent="0.3">
      <c r="A336" t="s">
        <v>648</v>
      </c>
      <c r="B336" t="s">
        <v>698</v>
      </c>
      <c r="C336" t="s">
        <v>654</v>
      </c>
      <c r="D336" t="s">
        <v>701</v>
      </c>
      <c r="E336" t="s">
        <v>59</v>
      </c>
      <c r="F336" t="str">
        <f t="shared" si="81"/>
        <v>CS</v>
      </c>
      <c r="G336">
        <f t="shared" si="78"/>
        <v>1</v>
      </c>
      <c r="H336" t="s">
        <v>10</v>
      </c>
      <c r="I336" t="str">
        <f t="shared" si="82"/>
        <v>R</v>
      </c>
      <c r="J336" t="str">
        <f t="shared" si="83"/>
        <v>No</v>
      </c>
      <c r="K336">
        <f t="shared" si="79"/>
        <v>0</v>
      </c>
      <c r="L336" t="str">
        <f t="shared" si="84"/>
        <v>No</v>
      </c>
      <c r="M336">
        <f t="shared" si="80"/>
        <v>0</v>
      </c>
      <c r="N336" t="s">
        <v>462</v>
      </c>
      <c r="O336" t="s">
        <v>463</v>
      </c>
      <c r="P336" t="s">
        <v>637</v>
      </c>
      <c r="Q336" t="s">
        <v>74</v>
      </c>
    </row>
    <row r="337" spans="1:17" x14ac:dyDescent="0.3">
      <c r="A337" t="s">
        <v>656</v>
      </c>
      <c r="B337" t="s">
        <v>702</v>
      </c>
      <c r="C337" t="s">
        <v>658</v>
      </c>
      <c r="D337" t="s">
        <v>703</v>
      </c>
      <c r="E337" t="s">
        <v>10</v>
      </c>
      <c r="F337" t="str">
        <f t="shared" si="81"/>
        <v>R</v>
      </c>
      <c r="G337">
        <f t="shared" si="78"/>
        <v>0</v>
      </c>
      <c r="H337" t="s">
        <v>10</v>
      </c>
      <c r="I337" t="str">
        <f t="shared" si="82"/>
        <v>R</v>
      </c>
      <c r="J337" t="str">
        <f t="shared" si="83"/>
        <v>Yes</v>
      </c>
      <c r="K337">
        <f t="shared" si="79"/>
        <v>1</v>
      </c>
      <c r="L337" t="str">
        <f t="shared" si="84"/>
        <v>Yes</v>
      </c>
      <c r="M337">
        <f t="shared" si="80"/>
        <v>1</v>
      </c>
      <c r="N337" t="s">
        <v>462</v>
      </c>
      <c r="O337" t="s">
        <v>463</v>
      </c>
      <c r="P337" t="s">
        <v>637</v>
      </c>
      <c r="Q337" t="s">
        <v>74</v>
      </c>
    </row>
    <row r="338" spans="1:17" x14ac:dyDescent="0.3">
      <c r="A338" t="s">
        <v>660</v>
      </c>
      <c r="B338" t="s">
        <v>704</v>
      </c>
      <c r="C338" t="s">
        <v>662</v>
      </c>
      <c r="D338" t="s">
        <v>705</v>
      </c>
      <c r="E338" t="s">
        <v>44</v>
      </c>
      <c r="F338" t="str">
        <f t="shared" si="81"/>
        <v>CS</v>
      </c>
      <c r="G338">
        <f t="shared" si="78"/>
        <v>1</v>
      </c>
      <c r="H338" t="s">
        <v>10</v>
      </c>
      <c r="I338" t="str">
        <f t="shared" si="82"/>
        <v>R</v>
      </c>
      <c r="J338" t="str">
        <f t="shared" si="83"/>
        <v>No</v>
      </c>
      <c r="K338">
        <f t="shared" si="79"/>
        <v>0</v>
      </c>
      <c r="L338" t="str">
        <f t="shared" si="84"/>
        <v>No</v>
      </c>
      <c r="M338">
        <f t="shared" si="80"/>
        <v>0</v>
      </c>
      <c r="N338" t="s">
        <v>462</v>
      </c>
      <c r="O338" t="s">
        <v>463</v>
      </c>
      <c r="P338" t="s">
        <v>637</v>
      </c>
      <c r="Q338" t="s">
        <v>74</v>
      </c>
    </row>
    <row r="339" spans="1:17" x14ac:dyDescent="0.3">
      <c r="A339" t="s">
        <v>660</v>
      </c>
      <c r="B339" t="s">
        <v>704</v>
      </c>
      <c r="C339" t="s">
        <v>664</v>
      </c>
      <c r="D339" t="s">
        <v>706</v>
      </c>
      <c r="E339" t="s">
        <v>10</v>
      </c>
      <c r="F339" t="str">
        <f t="shared" si="81"/>
        <v>R</v>
      </c>
      <c r="G339">
        <f t="shared" si="78"/>
        <v>0</v>
      </c>
      <c r="H339" t="s">
        <v>10</v>
      </c>
      <c r="I339" t="str">
        <f t="shared" si="82"/>
        <v>R</v>
      </c>
      <c r="J339" t="str">
        <f t="shared" si="83"/>
        <v>Yes</v>
      </c>
      <c r="K339">
        <f t="shared" si="79"/>
        <v>1</v>
      </c>
      <c r="L339" t="str">
        <f t="shared" si="84"/>
        <v>Yes</v>
      </c>
      <c r="M339">
        <f t="shared" si="80"/>
        <v>1</v>
      </c>
      <c r="N339" t="s">
        <v>462</v>
      </c>
      <c r="O339" t="s">
        <v>463</v>
      </c>
      <c r="P339" t="s">
        <v>637</v>
      </c>
      <c r="Q339" t="s">
        <v>74</v>
      </c>
    </row>
    <row r="340" spans="1:17" x14ac:dyDescent="0.3">
      <c r="A340" t="s">
        <v>666</v>
      </c>
      <c r="B340" t="s">
        <v>707</v>
      </c>
      <c r="C340" t="s">
        <v>668</v>
      </c>
      <c r="D340" t="s">
        <v>708</v>
      </c>
      <c r="E340" t="s">
        <v>10</v>
      </c>
      <c r="F340" t="str">
        <f t="shared" si="81"/>
        <v>R</v>
      </c>
      <c r="G340">
        <f t="shared" si="78"/>
        <v>0</v>
      </c>
      <c r="H340" t="s">
        <v>59</v>
      </c>
      <c r="I340" t="str">
        <f t="shared" si="82"/>
        <v>CS</v>
      </c>
      <c r="J340" t="str">
        <f t="shared" si="83"/>
        <v>No</v>
      </c>
      <c r="K340">
        <f t="shared" si="79"/>
        <v>0</v>
      </c>
      <c r="L340" t="str">
        <f t="shared" si="84"/>
        <v>No</v>
      </c>
      <c r="M340">
        <f t="shared" si="80"/>
        <v>0</v>
      </c>
      <c r="N340" t="s">
        <v>462</v>
      </c>
      <c r="O340" t="s">
        <v>463</v>
      </c>
      <c r="P340" t="s">
        <v>637</v>
      </c>
      <c r="Q340" t="s">
        <v>74</v>
      </c>
    </row>
    <row r="341" spans="1:17" x14ac:dyDescent="0.3">
      <c r="A341" t="s">
        <v>666</v>
      </c>
      <c r="B341" t="s">
        <v>707</v>
      </c>
      <c r="C341" t="s">
        <v>670</v>
      </c>
      <c r="D341" t="s">
        <v>709</v>
      </c>
      <c r="E341" t="s">
        <v>10</v>
      </c>
      <c r="F341" t="str">
        <f t="shared" si="81"/>
        <v>R</v>
      </c>
      <c r="G341">
        <f t="shared" si="78"/>
        <v>0</v>
      </c>
      <c r="H341" t="s">
        <v>25</v>
      </c>
      <c r="I341" t="str">
        <f t="shared" si="82"/>
        <v>CS</v>
      </c>
      <c r="J341" t="str">
        <f t="shared" si="83"/>
        <v>No</v>
      </c>
      <c r="K341">
        <f t="shared" si="79"/>
        <v>0</v>
      </c>
      <c r="L341" t="str">
        <f t="shared" si="84"/>
        <v>No</v>
      </c>
      <c r="M341">
        <f t="shared" si="80"/>
        <v>0</v>
      </c>
      <c r="N341" t="s">
        <v>462</v>
      </c>
      <c r="O341" t="s">
        <v>463</v>
      </c>
      <c r="P341" t="s">
        <v>637</v>
      </c>
      <c r="Q341" t="s">
        <v>74</v>
      </c>
    </row>
    <row r="342" spans="1:17" x14ac:dyDescent="0.3">
      <c r="A342" t="s">
        <v>672</v>
      </c>
      <c r="B342" t="s">
        <v>710</v>
      </c>
      <c r="C342" t="s">
        <v>674</v>
      </c>
      <c r="D342" t="s">
        <v>711</v>
      </c>
      <c r="E342" t="s">
        <v>712</v>
      </c>
      <c r="F342" t="str">
        <f t="shared" si="81"/>
        <v>CS</v>
      </c>
      <c r="G342">
        <f t="shared" si="78"/>
        <v>1</v>
      </c>
      <c r="H342" t="s">
        <v>59</v>
      </c>
      <c r="I342" t="str">
        <f t="shared" si="82"/>
        <v>CS</v>
      </c>
      <c r="J342" t="str">
        <f t="shared" si="83"/>
        <v>Yes</v>
      </c>
      <c r="K342">
        <f t="shared" si="79"/>
        <v>1</v>
      </c>
      <c r="L342" t="str">
        <f t="shared" si="84"/>
        <v>No</v>
      </c>
      <c r="M342">
        <f t="shared" si="80"/>
        <v>0</v>
      </c>
      <c r="N342" t="s">
        <v>462</v>
      </c>
      <c r="O342" t="s">
        <v>463</v>
      </c>
      <c r="P342" t="s">
        <v>637</v>
      </c>
      <c r="Q342" t="s">
        <v>74</v>
      </c>
    </row>
    <row r="343" spans="1:17" x14ac:dyDescent="0.3">
      <c r="A343" t="s">
        <v>676</v>
      </c>
      <c r="B343" t="s">
        <v>713</v>
      </c>
      <c r="C343" t="s">
        <v>678</v>
      </c>
      <c r="D343" t="s">
        <v>679</v>
      </c>
      <c r="E343" t="s">
        <v>10</v>
      </c>
      <c r="F343" t="str">
        <f t="shared" si="81"/>
        <v>R</v>
      </c>
      <c r="G343">
        <f t="shared" si="78"/>
        <v>0</v>
      </c>
      <c r="H343" t="s">
        <v>59</v>
      </c>
      <c r="I343" t="str">
        <f t="shared" si="82"/>
        <v>CS</v>
      </c>
      <c r="J343" t="str">
        <f t="shared" si="83"/>
        <v>No</v>
      </c>
      <c r="K343">
        <f t="shared" si="79"/>
        <v>0</v>
      </c>
      <c r="L343" t="str">
        <f t="shared" si="84"/>
        <v>No</v>
      </c>
      <c r="M343">
        <f t="shared" si="80"/>
        <v>0</v>
      </c>
      <c r="N343" t="s">
        <v>462</v>
      </c>
      <c r="O343" t="s">
        <v>463</v>
      </c>
      <c r="P343" t="s">
        <v>637</v>
      </c>
      <c r="Q343" t="s">
        <v>74</v>
      </c>
    </row>
    <row r="344" spans="1:17" x14ac:dyDescent="0.3">
      <c r="A344" t="s">
        <v>680</v>
      </c>
      <c r="B344" t="s">
        <v>714</v>
      </c>
      <c r="C344" t="s">
        <v>682</v>
      </c>
      <c r="D344" t="s">
        <v>715</v>
      </c>
      <c r="E344" t="s">
        <v>10</v>
      </c>
      <c r="F344" t="str">
        <f t="shared" si="81"/>
        <v>R</v>
      </c>
      <c r="G344">
        <f t="shared" si="78"/>
        <v>0</v>
      </c>
      <c r="H344" t="s">
        <v>10</v>
      </c>
      <c r="I344" t="str">
        <f t="shared" si="82"/>
        <v>R</v>
      </c>
      <c r="J344" t="str">
        <f t="shared" si="83"/>
        <v>Yes</v>
      </c>
      <c r="K344">
        <f t="shared" si="79"/>
        <v>1</v>
      </c>
      <c r="L344" t="str">
        <f t="shared" si="84"/>
        <v>Yes</v>
      </c>
      <c r="M344">
        <f t="shared" si="80"/>
        <v>1</v>
      </c>
      <c r="N344" t="s">
        <v>462</v>
      </c>
      <c r="O344" t="s">
        <v>463</v>
      </c>
      <c r="P344" t="s">
        <v>637</v>
      </c>
      <c r="Q344" t="s">
        <v>74</v>
      </c>
    </row>
    <row r="345" spans="1:17" x14ac:dyDescent="0.3">
      <c r="A345" t="s">
        <v>716</v>
      </c>
      <c r="B345" t="s">
        <v>717</v>
      </c>
      <c r="C345" t="s">
        <v>686</v>
      </c>
      <c r="D345" t="s">
        <v>718</v>
      </c>
      <c r="E345" t="s">
        <v>10</v>
      </c>
      <c r="F345" t="str">
        <f t="shared" si="81"/>
        <v>R</v>
      </c>
      <c r="G345">
        <f t="shared" si="78"/>
        <v>0</v>
      </c>
      <c r="H345" t="s">
        <v>25</v>
      </c>
      <c r="I345" t="str">
        <f t="shared" si="82"/>
        <v>CS</v>
      </c>
      <c r="J345" t="str">
        <f t="shared" si="83"/>
        <v>No</v>
      </c>
      <c r="K345">
        <f t="shared" si="79"/>
        <v>0</v>
      </c>
      <c r="L345" t="str">
        <f t="shared" si="84"/>
        <v>No</v>
      </c>
      <c r="M345">
        <f t="shared" si="80"/>
        <v>0</v>
      </c>
      <c r="N345" t="s">
        <v>462</v>
      </c>
      <c r="O345" t="s">
        <v>463</v>
      </c>
      <c r="P345" t="s">
        <v>637</v>
      </c>
      <c r="Q345" t="s">
        <v>74</v>
      </c>
    </row>
    <row r="346" spans="1:17" x14ac:dyDescent="0.3">
      <c r="A346" t="s">
        <v>688</v>
      </c>
      <c r="B346" t="s">
        <v>719</v>
      </c>
      <c r="C346" t="s">
        <v>690</v>
      </c>
      <c r="D346" t="s">
        <v>720</v>
      </c>
      <c r="E346" t="s">
        <v>10</v>
      </c>
      <c r="F346" t="str">
        <f t="shared" si="81"/>
        <v>R</v>
      </c>
      <c r="G346">
        <f t="shared" si="78"/>
        <v>0</v>
      </c>
      <c r="H346" t="s">
        <v>25</v>
      </c>
      <c r="I346" t="str">
        <f t="shared" si="82"/>
        <v>CS</v>
      </c>
      <c r="J346" t="str">
        <f t="shared" si="83"/>
        <v>No</v>
      </c>
      <c r="K346">
        <f t="shared" si="79"/>
        <v>0</v>
      </c>
      <c r="L346" t="str">
        <f t="shared" si="84"/>
        <v>No</v>
      </c>
      <c r="M346">
        <f t="shared" si="80"/>
        <v>0</v>
      </c>
      <c r="N346" t="s">
        <v>462</v>
      </c>
      <c r="O346" t="s">
        <v>463</v>
      </c>
      <c r="P346" t="s">
        <v>637</v>
      </c>
      <c r="Q346" t="s">
        <v>74</v>
      </c>
    </row>
    <row r="347" spans="1:17" x14ac:dyDescent="0.3">
      <c r="A347" t="s">
        <v>688</v>
      </c>
      <c r="B347" t="s">
        <v>719</v>
      </c>
      <c r="C347" t="s">
        <v>692</v>
      </c>
      <c r="D347" t="s">
        <v>721</v>
      </c>
      <c r="E347" t="s">
        <v>10</v>
      </c>
      <c r="F347" t="str">
        <f t="shared" si="81"/>
        <v>R</v>
      </c>
      <c r="G347">
        <f t="shared" si="78"/>
        <v>0</v>
      </c>
      <c r="H347" t="s">
        <v>59</v>
      </c>
      <c r="I347" t="str">
        <f t="shared" si="82"/>
        <v>CS</v>
      </c>
      <c r="J347" t="str">
        <f t="shared" si="83"/>
        <v>No</v>
      </c>
      <c r="K347">
        <f t="shared" si="79"/>
        <v>0</v>
      </c>
      <c r="L347" t="str">
        <f t="shared" si="84"/>
        <v>No</v>
      </c>
      <c r="M347">
        <f t="shared" si="80"/>
        <v>0</v>
      </c>
      <c r="N347" t="s">
        <v>462</v>
      </c>
      <c r="O347" t="s">
        <v>463</v>
      </c>
      <c r="P347" t="s">
        <v>637</v>
      </c>
      <c r="Q347" t="s">
        <v>74</v>
      </c>
    </row>
    <row r="348" spans="1:17" x14ac:dyDescent="0.3">
      <c r="A348" t="s">
        <v>638</v>
      </c>
      <c r="B348" t="s">
        <v>722</v>
      </c>
      <c r="C348" t="s">
        <v>640</v>
      </c>
      <c r="D348" t="s">
        <v>723</v>
      </c>
      <c r="E348" t="s">
        <v>59</v>
      </c>
      <c r="F348" t="str">
        <f>IF(E348="R", "R", "CS")</f>
        <v>CS</v>
      </c>
      <c r="G348">
        <f t="shared" si="78"/>
        <v>1</v>
      </c>
      <c r="H348" t="s">
        <v>10</v>
      </c>
      <c r="I348" t="str">
        <f>IF(H348="R","R")</f>
        <v>R</v>
      </c>
      <c r="J348" t="str">
        <f>IF(F348=I348,"Yes","No")</f>
        <v>No</v>
      </c>
      <c r="K348">
        <f t="shared" si="79"/>
        <v>0</v>
      </c>
      <c r="L348" t="str">
        <f>IF(E348=H348, "Yes", "No")</f>
        <v>No</v>
      </c>
      <c r="M348">
        <f t="shared" si="80"/>
        <v>0</v>
      </c>
      <c r="N348" t="s">
        <v>462</v>
      </c>
      <c r="O348" t="s">
        <v>463</v>
      </c>
      <c r="P348" t="s">
        <v>637</v>
      </c>
      <c r="Q348" t="s">
        <v>95</v>
      </c>
    </row>
    <row r="349" spans="1:17" x14ac:dyDescent="0.3">
      <c r="A349" t="s">
        <v>724</v>
      </c>
      <c r="B349" t="s">
        <v>725</v>
      </c>
      <c r="C349" t="s">
        <v>644</v>
      </c>
      <c r="D349" t="s">
        <v>726</v>
      </c>
      <c r="E349" t="s">
        <v>10</v>
      </c>
      <c r="F349" t="str">
        <f t="shared" ref="F349:F364" si="85">IF(E349="R", "R", "CS")</f>
        <v>R</v>
      </c>
      <c r="G349">
        <f t="shared" si="78"/>
        <v>0</v>
      </c>
      <c r="H349" t="s">
        <v>25</v>
      </c>
      <c r="I349" t="s">
        <v>25</v>
      </c>
      <c r="J349" t="str">
        <f t="shared" ref="J349:J364" si="86">IF(F349=I349,"Yes","No")</f>
        <v>No</v>
      </c>
      <c r="K349">
        <f t="shared" si="79"/>
        <v>0</v>
      </c>
      <c r="L349" t="str">
        <f t="shared" ref="L349:L364" si="87">IF(E349=H349, "Yes", "No")</f>
        <v>No</v>
      </c>
      <c r="M349">
        <f t="shared" si="80"/>
        <v>0</v>
      </c>
      <c r="N349" t="s">
        <v>462</v>
      </c>
      <c r="O349" t="s">
        <v>463</v>
      </c>
      <c r="P349" t="s">
        <v>637</v>
      </c>
      <c r="Q349" t="s">
        <v>95</v>
      </c>
    </row>
    <row r="350" spans="1:17" x14ac:dyDescent="0.3">
      <c r="A350" t="s">
        <v>724</v>
      </c>
      <c r="B350" t="s">
        <v>725</v>
      </c>
      <c r="C350" t="s">
        <v>646</v>
      </c>
      <c r="D350" t="s">
        <v>647</v>
      </c>
      <c r="E350" t="s">
        <v>10</v>
      </c>
      <c r="F350" t="str">
        <f t="shared" si="85"/>
        <v>R</v>
      </c>
      <c r="G350">
        <f t="shared" si="78"/>
        <v>0</v>
      </c>
      <c r="H350" t="s">
        <v>10</v>
      </c>
      <c r="I350" t="str">
        <f t="shared" ref="I350:I364" si="88">IF(H350="R","R")</f>
        <v>R</v>
      </c>
      <c r="J350" t="str">
        <f t="shared" si="86"/>
        <v>Yes</v>
      </c>
      <c r="K350">
        <f t="shared" si="79"/>
        <v>1</v>
      </c>
      <c r="L350" t="str">
        <f t="shared" si="87"/>
        <v>Yes</v>
      </c>
      <c r="M350">
        <f t="shared" si="80"/>
        <v>1</v>
      </c>
      <c r="N350" t="s">
        <v>462</v>
      </c>
      <c r="O350" t="s">
        <v>463</v>
      </c>
      <c r="P350" t="s">
        <v>637</v>
      </c>
      <c r="Q350" t="s">
        <v>95</v>
      </c>
    </row>
    <row r="351" spans="1:17" x14ac:dyDescent="0.3">
      <c r="A351" t="s">
        <v>648</v>
      </c>
      <c r="B351" t="s">
        <v>727</v>
      </c>
      <c r="C351" t="s">
        <v>650</v>
      </c>
      <c r="D351" t="s">
        <v>728</v>
      </c>
      <c r="E351" t="s">
        <v>59</v>
      </c>
      <c r="F351" t="str">
        <f t="shared" si="85"/>
        <v>CS</v>
      </c>
      <c r="G351">
        <f t="shared" si="78"/>
        <v>1</v>
      </c>
      <c r="H351" t="s">
        <v>25</v>
      </c>
      <c r="I351" t="s">
        <v>25</v>
      </c>
      <c r="J351" t="str">
        <f t="shared" si="86"/>
        <v>Yes</v>
      </c>
      <c r="K351">
        <f t="shared" si="79"/>
        <v>1</v>
      </c>
      <c r="L351" t="str">
        <f t="shared" si="87"/>
        <v>No</v>
      </c>
      <c r="M351">
        <f t="shared" si="80"/>
        <v>0</v>
      </c>
      <c r="N351" t="s">
        <v>462</v>
      </c>
      <c r="O351" t="s">
        <v>463</v>
      </c>
      <c r="P351" t="s">
        <v>637</v>
      </c>
      <c r="Q351" t="s">
        <v>95</v>
      </c>
    </row>
    <row r="352" spans="1:17" x14ac:dyDescent="0.3">
      <c r="A352" t="s">
        <v>648</v>
      </c>
      <c r="B352" t="s">
        <v>727</v>
      </c>
      <c r="C352" t="s">
        <v>652</v>
      </c>
      <c r="D352" t="s">
        <v>729</v>
      </c>
      <c r="E352" t="s">
        <v>10</v>
      </c>
      <c r="F352" t="str">
        <f t="shared" si="85"/>
        <v>R</v>
      </c>
      <c r="G352">
        <f t="shared" si="78"/>
        <v>0</v>
      </c>
      <c r="H352" t="s">
        <v>10</v>
      </c>
      <c r="I352" t="str">
        <f t="shared" si="88"/>
        <v>R</v>
      </c>
      <c r="J352" t="str">
        <f t="shared" si="86"/>
        <v>Yes</v>
      </c>
      <c r="K352">
        <f t="shared" si="79"/>
        <v>1</v>
      </c>
      <c r="L352" t="str">
        <f t="shared" si="87"/>
        <v>Yes</v>
      </c>
      <c r="M352">
        <f t="shared" si="80"/>
        <v>1</v>
      </c>
      <c r="N352" t="s">
        <v>462</v>
      </c>
      <c r="O352" t="s">
        <v>463</v>
      </c>
      <c r="P352" t="s">
        <v>637</v>
      </c>
      <c r="Q352" t="s">
        <v>95</v>
      </c>
    </row>
    <row r="353" spans="1:17" x14ac:dyDescent="0.3">
      <c r="A353" t="s">
        <v>648</v>
      </c>
      <c r="B353" t="s">
        <v>727</v>
      </c>
      <c r="C353" t="s">
        <v>654</v>
      </c>
      <c r="D353" t="s">
        <v>730</v>
      </c>
      <c r="E353" t="s">
        <v>59</v>
      </c>
      <c r="F353" t="str">
        <f t="shared" si="85"/>
        <v>CS</v>
      </c>
      <c r="G353">
        <f t="shared" si="78"/>
        <v>1</v>
      </c>
      <c r="H353" t="s">
        <v>10</v>
      </c>
      <c r="I353" t="str">
        <f t="shared" si="88"/>
        <v>R</v>
      </c>
      <c r="J353" t="str">
        <f t="shared" si="86"/>
        <v>No</v>
      </c>
      <c r="K353">
        <f t="shared" si="79"/>
        <v>0</v>
      </c>
      <c r="L353" t="str">
        <f t="shared" si="87"/>
        <v>No</v>
      </c>
      <c r="M353">
        <f t="shared" si="80"/>
        <v>0</v>
      </c>
      <c r="N353" t="s">
        <v>462</v>
      </c>
      <c r="O353" t="s">
        <v>463</v>
      </c>
      <c r="P353" t="s">
        <v>637</v>
      </c>
      <c r="Q353" t="s">
        <v>95</v>
      </c>
    </row>
    <row r="354" spans="1:17" x14ac:dyDescent="0.3">
      <c r="A354" t="s">
        <v>656</v>
      </c>
      <c r="B354" t="s">
        <v>731</v>
      </c>
      <c r="C354" t="s">
        <v>658</v>
      </c>
      <c r="D354" t="s">
        <v>732</v>
      </c>
      <c r="E354" t="s">
        <v>59</v>
      </c>
      <c r="F354" t="str">
        <f t="shared" si="85"/>
        <v>CS</v>
      </c>
      <c r="G354">
        <f t="shared" si="78"/>
        <v>1</v>
      </c>
      <c r="H354" t="s">
        <v>144</v>
      </c>
      <c r="I354" t="s">
        <v>25</v>
      </c>
      <c r="J354" t="str">
        <f t="shared" si="86"/>
        <v>Yes</v>
      </c>
      <c r="K354">
        <f t="shared" si="79"/>
        <v>1</v>
      </c>
      <c r="L354" t="str">
        <f t="shared" si="87"/>
        <v>No</v>
      </c>
      <c r="M354">
        <f t="shared" si="80"/>
        <v>0</v>
      </c>
      <c r="N354" t="s">
        <v>462</v>
      </c>
      <c r="O354" t="s">
        <v>463</v>
      </c>
      <c r="P354" t="s">
        <v>637</v>
      </c>
      <c r="Q354" t="s">
        <v>95</v>
      </c>
    </row>
    <row r="355" spans="1:17" x14ac:dyDescent="0.3">
      <c r="A355" t="s">
        <v>660</v>
      </c>
      <c r="B355" t="s">
        <v>733</v>
      </c>
      <c r="C355" t="s">
        <v>662</v>
      </c>
      <c r="D355" t="s">
        <v>734</v>
      </c>
      <c r="E355" t="s">
        <v>10</v>
      </c>
      <c r="F355" t="str">
        <f t="shared" si="85"/>
        <v>R</v>
      </c>
      <c r="G355">
        <f t="shared" si="78"/>
        <v>0</v>
      </c>
      <c r="H355" t="s">
        <v>10</v>
      </c>
      <c r="I355" t="str">
        <f t="shared" si="88"/>
        <v>R</v>
      </c>
      <c r="J355" t="str">
        <f t="shared" si="86"/>
        <v>Yes</v>
      </c>
      <c r="K355">
        <f t="shared" si="79"/>
        <v>1</v>
      </c>
      <c r="L355" t="str">
        <f t="shared" si="87"/>
        <v>Yes</v>
      </c>
      <c r="M355">
        <f t="shared" si="80"/>
        <v>1</v>
      </c>
      <c r="N355" t="s">
        <v>462</v>
      </c>
      <c r="O355" t="s">
        <v>463</v>
      </c>
      <c r="P355" t="s">
        <v>637</v>
      </c>
      <c r="Q355" t="s">
        <v>95</v>
      </c>
    </row>
    <row r="356" spans="1:17" x14ac:dyDescent="0.3">
      <c r="A356" t="s">
        <v>660</v>
      </c>
      <c r="B356" t="s">
        <v>733</v>
      </c>
      <c r="C356" t="s">
        <v>664</v>
      </c>
      <c r="D356" t="s">
        <v>665</v>
      </c>
      <c r="E356" t="s">
        <v>10</v>
      </c>
      <c r="F356" t="str">
        <f t="shared" si="85"/>
        <v>R</v>
      </c>
      <c r="G356">
        <f t="shared" si="78"/>
        <v>0</v>
      </c>
      <c r="H356" t="s">
        <v>10</v>
      </c>
      <c r="I356" t="str">
        <f t="shared" si="88"/>
        <v>R</v>
      </c>
      <c r="J356" t="str">
        <f t="shared" si="86"/>
        <v>Yes</v>
      </c>
      <c r="K356">
        <f t="shared" si="79"/>
        <v>1</v>
      </c>
      <c r="L356" t="str">
        <f t="shared" si="87"/>
        <v>Yes</v>
      </c>
      <c r="M356">
        <f t="shared" si="80"/>
        <v>1</v>
      </c>
      <c r="N356" t="s">
        <v>462</v>
      </c>
      <c r="O356" t="s">
        <v>463</v>
      </c>
      <c r="P356" t="s">
        <v>637</v>
      </c>
      <c r="Q356" t="s">
        <v>95</v>
      </c>
    </row>
    <row r="357" spans="1:17" x14ac:dyDescent="0.3">
      <c r="A357" t="s">
        <v>666</v>
      </c>
      <c r="B357" t="s">
        <v>735</v>
      </c>
      <c r="C357" t="s">
        <v>668</v>
      </c>
      <c r="D357" t="s">
        <v>736</v>
      </c>
      <c r="E357" t="s">
        <v>59</v>
      </c>
      <c r="F357" t="str">
        <f t="shared" si="85"/>
        <v>CS</v>
      </c>
      <c r="G357">
        <f t="shared" si="78"/>
        <v>1</v>
      </c>
      <c r="H357" t="s">
        <v>10</v>
      </c>
      <c r="I357" t="str">
        <f t="shared" si="88"/>
        <v>R</v>
      </c>
      <c r="J357" t="str">
        <f t="shared" si="86"/>
        <v>No</v>
      </c>
      <c r="K357">
        <f t="shared" si="79"/>
        <v>0</v>
      </c>
      <c r="L357" t="str">
        <f t="shared" si="87"/>
        <v>No</v>
      </c>
      <c r="M357">
        <f t="shared" si="80"/>
        <v>0</v>
      </c>
      <c r="N357" t="s">
        <v>462</v>
      </c>
      <c r="O357" t="s">
        <v>463</v>
      </c>
      <c r="P357" t="s">
        <v>637</v>
      </c>
      <c r="Q357" t="s">
        <v>95</v>
      </c>
    </row>
    <row r="358" spans="1:17" x14ac:dyDescent="0.3">
      <c r="A358" t="s">
        <v>666</v>
      </c>
      <c r="B358" t="s">
        <v>735</v>
      </c>
      <c r="C358" t="s">
        <v>670</v>
      </c>
      <c r="D358" t="s">
        <v>737</v>
      </c>
      <c r="E358" t="s">
        <v>10</v>
      </c>
      <c r="F358" t="str">
        <f t="shared" si="85"/>
        <v>R</v>
      </c>
      <c r="G358">
        <f t="shared" si="78"/>
        <v>0</v>
      </c>
      <c r="H358" t="s">
        <v>10</v>
      </c>
      <c r="I358" t="str">
        <f t="shared" si="88"/>
        <v>R</v>
      </c>
      <c r="J358" t="str">
        <f t="shared" si="86"/>
        <v>Yes</v>
      </c>
      <c r="K358">
        <f t="shared" si="79"/>
        <v>1</v>
      </c>
      <c r="L358" t="str">
        <f t="shared" si="87"/>
        <v>Yes</v>
      </c>
      <c r="M358">
        <f t="shared" si="80"/>
        <v>1</v>
      </c>
      <c r="N358" t="s">
        <v>462</v>
      </c>
      <c r="O358" t="s">
        <v>463</v>
      </c>
      <c r="P358" t="s">
        <v>637</v>
      </c>
      <c r="Q358" t="s">
        <v>95</v>
      </c>
    </row>
    <row r="359" spans="1:17" x14ac:dyDescent="0.3">
      <c r="A359" t="s">
        <v>672</v>
      </c>
      <c r="B359" t="s">
        <v>738</v>
      </c>
      <c r="C359" t="s">
        <v>674</v>
      </c>
      <c r="D359" t="s">
        <v>739</v>
      </c>
      <c r="E359" t="s">
        <v>172</v>
      </c>
      <c r="F359" t="str">
        <f t="shared" si="85"/>
        <v>CS</v>
      </c>
      <c r="G359">
        <f t="shared" si="78"/>
        <v>1</v>
      </c>
      <c r="H359" t="s">
        <v>59</v>
      </c>
      <c r="I359" t="s">
        <v>25</v>
      </c>
      <c r="J359" t="str">
        <f t="shared" si="86"/>
        <v>Yes</v>
      </c>
      <c r="K359">
        <f t="shared" si="79"/>
        <v>1</v>
      </c>
      <c r="L359" t="str">
        <f t="shared" si="87"/>
        <v>No</v>
      </c>
      <c r="M359">
        <f t="shared" si="80"/>
        <v>0</v>
      </c>
      <c r="N359" t="s">
        <v>462</v>
      </c>
      <c r="O359" t="s">
        <v>463</v>
      </c>
      <c r="P359" t="s">
        <v>637</v>
      </c>
      <c r="Q359" t="s">
        <v>95</v>
      </c>
    </row>
    <row r="360" spans="1:17" x14ac:dyDescent="0.3">
      <c r="A360" t="s">
        <v>676</v>
      </c>
      <c r="B360" t="s">
        <v>740</v>
      </c>
      <c r="C360" t="s">
        <v>678</v>
      </c>
      <c r="D360" t="s">
        <v>741</v>
      </c>
      <c r="E360" t="s">
        <v>172</v>
      </c>
      <c r="F360" t="str">
        <f t="shared" si="85"/>
        <v>CS</v>
      </c>
      <c r="G360">
        <f t="shared" si="78"/>
        <v>1</v>
      </c>
      <c r="H360" t="s">
        <v>144</v>
      </c>
      <c r="I360" t="s">
        <v>144</v>
      </c>
      <c r="J360" t="str">
        <f t="shared" si="86"/>
        <v>No</v>
      </c>
      <c r="K360">
        <f t="shared" si="79"/>
        <v>0</v>
      </c>
      <c r="L360" t="str">
        <f t="shared" si="87"/>
        <v>No</v>
      </c>
      <c r="M360">
        <f t="shared" si="80"/>
        <v>0</v>
      </c>
      <c r="N360" t="s">
        <v>462</v>
      </c>
      <c r="O360" t="s">
        <v>463</v>
      </c>
      <c r="P360" t="s">
        <v>637</v>
      </c>
      <c r="Q360" t="s">
        <v>95</v>
      </c>
    </row>
    <row r="361" spans="1:17" x14ac:dyDescent="0.3">
      <c r="A361" t="s">
        <v>680</v>
      </c>
      <c r="B361" t="s">
        <v>742</v>
      </c>
      <c r="C361" t="s">
        <v>682</v>
      </c>
      <c r="D361" t="s">
        <v>743</v>
      </c>
      <c r="E361" t="s">
        <v>44</v>
      </c>
      <c r="F361" t="str">
        <f t="shared" si="85"/>
        <v>CS</v>
      </c>
      <c r="G361">
        <f t="shared" si="78"/>
        <v>1</v>
      </c>
      <c r="H361" t="s">
        <v>10</v>
      </c>
      <c r="I361" t="str">
        <f t="shared" si="88"/>
        <v>R</v>
      </c>
      <c r="J361" t="str">
        <f t="shared" si="86"/>
        <v>No</v>
      </c>
      <c r="K361">
        <f t="shared" si="79"/>
        <v>0</v>
      </c>
      <c r="L361" t="str">
        <f t="shared" si="87"/>
        <v>No</v>
      </c>
      <c r="M361">
        <f t="shared" si="80"/>
        <v>0</v>
      </c>
      <c r="N361" t="s">
        <v>462</v>
      </c>
      <c r="O361" t="s">
        <v>463</v>
      </c>
      <c r="P361" t="s">
        <v>637</v>
      </c>
      <c r="Q361" t="s">
        <v>95</v>
      </c>
    </row>
    <row r="362" spans="1:17" x14ac:dyDescent="0.3">
      <c r="A362" t="s">
        <v>716</v>
      </c>
      <c r="B362" t="s">
        <v>744</v>
      </c>
      <c r="C362" t="s">
        <v>686</v>
      </c>
      <c r="D362" t="s">
        <v>687</v>
      </c>
      <c r="E362" t="s">
        <v>59</v>
      </c>
      <c r="F362" t="str">
        <f t="shared" si="85"/>
        <v>CS</v>
      </c>
      <c r="G362">
        <f t="shared" si="78"/>
        <v>1</v>
      </c>
      <c r="H362" t="s">
        <v>10</v>
      </c>
      <c r="I362" t="str">
        <f t="shared" si="88"/>
        <v>R</v>
      </c>
      <c r="J362" t="str">
        <f t="shared" si="86"/>
        <v>No</v>
      </c>
      <c r="K362">
        <f t="shared" si="79"/>
        <v>0</v>
      </c>
      <c r="L362" t="str">
        <f t="shared" si="87"/>
        <v>No</v>
      </c>
      <c r="M362">
        <f t="shared" si="80"/>
        <v>0</v>
      </c>
      <c r="N362" t="s">
        <v>462</v>
      </c>
      <c r="O362" t="s">
        <v>463</v>
      </c>
      <c r="P362" t="s">
        <v>637</v>
      </c>
      <c r="Q362" t="s">
        <v>95</v>
      </c>
    </row>
    <row r="363" spans="1:17" x14ac:dyDescent="0.3">
      <c r="A363" t="s">
        <v>688</v>
      </c>
      <c r="B363" t="s">
        <v>745</v>
      </c>
      <c r="C363" t="s">
        <v>690</v>
      </c>
      <c r="D363" t="s">
        <v>746</v>
      </c>
      <c r="E363" t="s">
        <v>10</v>
      </c>
      <c r="F363" t="str">
        <f t="shared" si="85"/>
        <v>R</v>
      </c>
      <c r="G363">
        <f t="shared" si="78"/>
        <v>0</v>
      </c>
      <c r="H363" t="s">
        <v>10</v>
      </c>
      <c r="I363" t="str">
        <f t="shared" si="88"/>
        <v>R</v>
      </c>
      <c r="J363" t="str">
        <f t="shared" si="86"/>
        <v>Yes</v>
      </c>
      <c r="K363">
        <f t="shared" si="79"/>
        <v>1</v>
      </c>
      <c r="L363" t="str">
        <f t="shared" si="87"/>
        <v>Yes</v>
      </c>
      <c r="M363">
        <f t="shared" si="80"/>
        <v>1</v>
      </c>
      <c r="N363" t="s">
        <v>462</v>
      </c>
      <c r="O363" t="s">
        <v>463</v>
      </c>
      <c r="P363" t="s">
        <v>637</v>
      </c>
      <c r="Q363" t="s">
        <v>95</v>
      </c>
    </row>
    <row r="364" spans="1:17" x14ac:dyDescent="0.3">
      <c r="A364" t="s">
        <v>688</v>
      </c>
      <c r="B364" t="s">
        <v>745</v>
      </c>
      <c r="C364" t="s">
        <v>692</v>
      </c>
      <c r="D364" t="s">
        <v>747</v>
      </c>
      <c r="E364" t="s">
        <v>44</v>
      </c>
      <c r="F364" t="str">
        <f t="shared" si="85"/>
        <v>CS</v>
      </c>
      <c r="G364">
        <f t="shared" si="78"/>
        <v>1</v>
      </c>
      <c r="H364" t="s">
        <v>10</v>
      </c>
      <c r="I364" t="str">
        <f t="shared" si="88"/>
        <v>R</v>
      </c>
      <c r="J364" t="str">
        <f t="shared" si="86"/>
        <v>No</v>
      </c>
      <c r="K364">
        <f t="shared" si="79"/>
        <v>0</v>
      </c>
      <c r="L364" t="str">
        <f t="shared" si="87"/>
        <v>No</v>
      </c>
      <c r="M364">
        <f t="shared" si="80"/>
        <v>0</v>
      </c>
      <c r="N364" t="s">
        <v>462</v>
      </c>
      <c r="O364" t="s">
        <v>463</v>
      </c>
      <c r="P364" t="s">
        <v>637</v>
      </c>
      <c r="Q364" t="s">
        <v>95</v>
      </c>
    </row>
    <row r="365" spans="1:17" x14ac:dyDescent="0.3">
      <c r="A365" t="s">
        <v>255</v>
      </c>
      <c r="B365" t="s">
        <v>748</v>
      </c>
      <c r="C365" t="s">
        <v>257</v>
      </c>
      <c r="D365" t="s">
        <v>749</v>
      </c>
      <c r="E365" t="s">
        <v>10</v>
      </c>
      <c r="F365" t="str">
        <f>IF(E365="R", "R", "CS")</f>
        <v>R</v>
      </c>
      <c r="G365">
        <f t="shared" si="78"/>
        <v>0</v>
      </c>
      <c r="H365" t="s">
        <v>10</v>
      </c>
      <c r="I365" t="str">
        <f t="shared" ref="I365:I388" si="89">IF(H365="R", "R", "CS")</f>
        <v>R</v>
      </c>
      <c r="J365" t="str">
        <f>IF(F365=I365, "Yes", "No")</f>
        <v>Yes</v>
      </c>
      <c r="K365">
        <f t="shared" si="79"/>
        <v>1</v>
      </c>
      <c r="L365" t="str">
        <f>IF(E365=H365, "Yes", "No")</f>
        <v>Yes</v>
      </c>
      <c r="M365">
        <f t="shared" si="80"/>
        <v>1</v>
      </c>
      <c r="N365" t="s">
        <v>0</v>
      </c>
      <c r="O365" t="s">
        <v>463</v>
      </c>
      <c r="P365" t="s">
        <v>254</v>
      </c>
      <c r="Q365" t="s">
        <v>3</v>
      </c>
    </row>
    <row r="366" spans="1:17" x14ac:dyDescent="0.3">
      <c r="A366" t="s">
        <v>255</v>
      </c>
      <c r="B366" t="s">
        <v>748</v>
      </c>
      <c r="C366" t="s">
        <v>259</v>
      </c>
      <c r="D366" t="s">
        <v>750</v>
      </c>
      <c r="E366" t="s">
        <v>10</v>
      </c>
      <c r="F366" t="str">
        <f t="shared" ref="F366:F388" si="90">IF(E366="R", "R", "CS")</f>
        <v>R</v>
      </c>
      <c r="G366">
        <f t="shared" si="78"/>
        <v>0</v>
      </c>
      <c r="H366" t="s">
        <v>10</v>
      </c>
      <c r="I366" t="str">
        <f t="shared" si="89"/>
        <v>R</v>
      </c>
      <c r="J366" t="str">
        <f t="shared" ref="J366:J388" si="91">IF(F366=I366, "Yes", "No")</f>
        <v>Yes</v>
      </c>
      <c r="K366">
        <f t="shared" si="79"/>
        <v>1</v>
      </c>
      <c r="L366" t="str">
        <f t="shared" ref="L366:L388" si="92">IF(E366=H366, "Yes", "No")</f>
        <v>Yes</v>
      </c>
      <c r="M366">
        <f t="shared" si="80"/>
        <v>1</v>
      </c>
      <c r="N366" t="s">
        <v>0</v>
      </c>
      <c r="O366" t="s">
        <v>463</v>
      </c>
      <c r="P366" t="s">
        <v>254</v>
      </c>
      <c r="Q366" t="s">
        <v>3</v>
      </c>
    </row>
    <row r="367" spans="1:17" x14ac:dyDescent="0.3">
      <c r="A367" t="s">
        <v>255</v>
      </c>
      <c r="B367" t="s">
        <v>748</v>
      </c>
      <c r="C367" t="s">
        <v>261</v>
      </c>
      <c r="D367" t="s">
        <v>751</v>
      </c>
      <c r="E367" t="s">
        <v>10</v>
      </c>
      <c r="F367" t="str">
        <f t="shared" si="90"/>
        <v>R</v>
      </c>
      <c r="G367">
        <f t="shared" si="78"/>
        <v>0</v>
      </c>
      <c r="H367" t="s">
        <v>10</v>
      </c>
      <c r="I367" t="str">
        <f t="shared" si="89"/>
        <v>R</v>
      </c>
      <c r="J367" t="str">
        <f t="shared" si="91"/>
        <v>Yes</v>
      </c>
      <c r="K367">
        <f t="shared" si="79"/>
        <v>1</v>
      </c>
      <c r="L367" t="str">
        <f t="shared" si="92"/>
        <v>Yes</v>
      </c>
      <c r="M367">
        <f t="shared" si="80"/>
        <v>1</v>
      </c>
      <c r="N367" t="s">
        <v>0</v>
      </c>
      <c r="O367" t="s">
        <v>463</v>
      </c>
      <c r="P367" t="s">
        <v>254</v>
      </c>
      <c r="Q367" t="s">
        <v>3</v>
      </c>
    </row>
    <row r="368" spans="1:17" x14ac:dyDescent="0.3">
      <c r="A368" t="s">
        <v>255</v>
      </c>
      <c r="B368" t="s">
        <v>748</v>
      </c>
      <c r="C368" t="s">
        <v>263</v>
      </c>
      <c r="D368" t="s">
        <v>752</v>
      </c>
      <c r="E368" t="s">
        <v>10</v>
      </c>
      <c r="F368" t="str">
        <f t="shared" si="90"/>
        <v>R</v>
      </c>
      <c r="G368">
        <f t="shared" si="78"/>
        <v>0</v>
      </c>
      <c r="H368" t="s">
        <v>10</v>
      </c>
      <c r="I368" t="str">
        <f t="shared" si="89"/>
        <v>R</v>
      </c>
      <c r="J368" t="str">
        <f t="shared" si="91"/>
        <v>Yes</v>
      </c>
      <c r="K368">
        <f t="shared" si="79"/>
        <v>1</v>
      </c>
      <c r="L368" t="str">
        <f t="shared" si="92"/>
        <v>Yes</v>
      </c>
      <c r="M368">
        <f t="shared" si="80"/>
        <v>1</v>
      </c>
      <c r="N368" t="s">
        <v>0</v>
      </c>
      <c r="O368" t="s">
        <v>463</v>
      </c>
      <c r="P368" t="s">
        <v>254</v>
      </c>
      <c r="Q368" t="s">
        <v>3</v>
      </c>
    </row>
    <row r="369" spans="1:17" x14ac:dyDescent="0.3">
      <c r="A369" t="s">
        <v>265</v>
      </c>
      <c r="B369" t="s">
        <v>753</v>
      </c>
      <c r="C369" t="s">
        <v>267</v>
      </c>
      <c r="D369" t="s">
        <v>754</v>
      </c>
      <c r="E369" t="s">
        <v>59</v>
      </c>
      <c r="F369" t="str">
        <f t="shared" si="90"/>
        <v>CS</v>
      </c>
      <c r="G369">
        <f t="shared" si="78"/>
        <v>1</v>
      </c>
      <c r="H369" t="s">
        <v>59</v>
      </c>
      <c r="I369" t="str">
        <f t="shared" si="89"/>
        <v>CS</v>
      </c>
      <c r="J369" t="str">
        <f t="shared" si="91"/>
        <v>Yes</v>
      </c>
      <c r="K369">
        <f t="shared" si="79"/>
        <v>1</v>
      </c>
      <c r="L369" t="str">
        <f t="shared" si="92"/>
        <v>Yes</v>
      </c>
      <c r="M369">
        <f t="shared" si="80"/>
        <v>1</v>
      </c>
      <c r="N369" t="s">
        <v>0</v>
      </c>
      <c r="O369" t="s">
        <v>463</v>
      </c>
      <c r="P369" t="s">
        <v>254</v>
      </c>
      <c r="Q369" t="s">
        <v>3</v>
      </c>
    </row>
    <row r="370" spans="1:17" x14ac:dyDescent="0.3">
      <c r="A370" t="s">
        <v>265</v>
      </c>
      <c r="B370" t="s">
        <v>753</v>
      </c>
      <c r="C370" t="s">
        <v>269</v>
      </c>
      <c r="D370" t="s">
        <v>755</v>
      </c>
      <c r="E370" t="s">
        <v>10</v>
      </c>
      <c r="F370" t="str">
        <f t="shared" si="90"/>
        <v>R</v>
      </c>
      <c r="G370">
        <f t="shared" si="78"/>
        <v>0</v>
      </c>
      <c r="H370" t="s">
        <v>10</v>
      </c>
      <c r="I370" t="str">
        <f t="shared" si="89"/>
        <v>R</v>
      </c>
      <c r="J370" t="str">
        <f t="shared" si="91"/>
        <v>Yes</v>
      </c>
      <c r="K370">
        <f t="shared" si="79"/>
        <v>1</v>
      </c>
      <c r="L370" t="str">
        <f t="shared" si="92"/>
        <v>Yes</v>
      </c>
      <c r="M370">
        <f t="shared" si="80"/>
        <v>1</v>
      </c>
      <c r="N370" t="s">
        <v>0</v>
      </c>
      <c r="O370" t="s">
        <v>463</v>
      </c>
      <c r="P370" t="s">
        <v>254</v>
      </c>
      <c r="Q370" t="s">
        <v>3</v>
      </c>
    </row>
    <row r="371" spans="1:17" x14ac:dyDescent="0.3">
      <c r="A371" t="s">
        <v>265</v>
      </c>
      <c r="B371" t="s">
        <v>753</v>
      </c>
      <c r="C371" t="s">
        <v>271</v>
      </c>
      <c r="D371" t="s">
        <v>756</v>
      </c>
      <c r="E371" t="s">
        <v>10</v>
      </c>
      <c r="F371" t="str">
        <f t="shared" si="90"/>
        <v>R</v>
      </c>
      <c r="G371">
        <f t="shared" si="78"/>
        <v>0</v>
      </c>
      <c r="H371" t="s">
        <v>25</v>
      </c>
      <c r="I371" t="str">
        <f t="shared" si="89"/>
        <v>CS</v>
      </c>
      <c r="J371" t="str">
        <f t="shared" si="91"/>
        <v>No</v>
      </c>
      <c r="K371">
        <f t="shared" si="79"/>
        <v>0</v>
      </c>
      <c r="L371" t="str">
        <f t="shared" si="92"/>
        <v>No</v>
      </c>
      <c r="M371">
        <f t="shared" si="80"/>
        <v>0</v>
      </c>
      <c r="N371" t="s">
        <v>0</v>
      </c>
      <c r="O371" t="s">
        <v>463</v>
      </c>
      <c r="P371" t="s">
        <v>254</v>
      </c>
      <c r="Q371" t="s">
        <v>3</v>
      </c>
    </row>
    <row r="372" spans="1:17" x14ac:dyDescent="0.3">
      <c r="A372" t="s">
        <v>265</v>
      </c>
      <c r="B372" t="s">
        <v>753</v>
      </c>
      <c r="C372" t="s">
        <v>273</v>
      </c>
      <c r="D372" t="s">
        <v>757</v>
      </c>
      <c r="E372" t="s">
        <v>10</v>
      </c>
      <c r="F372" t="str">
        <f t="shared" si="90"/>
        <v>R</v>
      </c>
      <c r="G372">
        <f t="shared" si="78"/>
        <v>0</v>
      </c>
      <c r="H372" t="s">
        <v>25</v>
      </c>
      <c r="I372" t="str">
        <f t="shared" si="89"/>
        <v>CS</v>
      </c>
      <c r="J372" t="str">
        <f t="shared" si="91"/>
        <v>No</v>
      </c>
      <c r="K372">
        <f t="shared" si="79"/>
        <v>0</v>
      </c>
      <c r="L372" t="str">
        <f t="shared" si="92"/>
        <v>No</v>
      </c>
      <c r="M372">
        <f t="shared" si="80"/>
        <v>0</v>
      </c>
      <c r="N372" t="s">
        <v>0</v>
      </c>
      <c r="O372" t="s">
        <v>463</v>
      </c>
      <c r="P372" t="s">
        <v>254</v>
      </c>
      <c r="Q372" t="s">
        <v>3</v>
      </c>
    </row>
    <row r="373" spans="1:17" x14ac:dyDescent="0.3">
      <c r="A373" t="s">
        <v>275</v>
      </c>
      <c r="B373" t="s">
        <v>758</v>
      </c>
      <c r="C373" t="s">
        <v>277</v>
      </c>
      <c r="D373" t="s">
        <v>759</v>
      </c>
      <c r="E373" t="s">
        <v>10</v>
      </c>
      <c r="F373" t="str">
        <f t="shared" si="90"/>
        <v>R</v>
      </c>
      <c r="G373">
        <f t="shared" si="78"/>
        <v>0</v>
      </c>
      <c r="H373" t="s">
        <v>10</v>
      </c>
      <c r="I373" t="str">
        <f t="shared" si="89"/>
        <v>R</v>
      </c>
      <c r="J373" t="str">
        <f t="shared" si="91"/>
        <v>Yes</v>
      </c>
      <c r="K373">
        <f t="shared" si="79"/>
        <v>1</v>
      </c>
      <c r="L373" t="str">
        <f t="shared" si="92"/>
        <v>Yes</v>
      </c>
      <c r="M373">
        <f t="shared" si="80"/>
        <v>1</v>
      </c>
      <c r="N373" t="s">
        <v>0</v>
      </c>
      <c r="O373" t="s">
        <v>463</v>
      </c>
      <c r="P373" t="s">
        <v>254</v>
      </c>
      <c r="Q373" t="s">
        <v>3</v>
      </c>
    </row>
    <row r="374" spans="1:17" x14ac:dyDescent="0.3">
      <c r="A374" t="s">
        <v>275</v>
      </c>
      <c r="B374" t="s">
        <v>758</v>
      </c>
      <c r="C374" t="s">
        <v>279</v>
      </c>
      <c r="D374" t="s">
        <v>760</v>
      </c>
      <c r="E374" t="s">
        <v>10</v>
      </c>
      <c r="F374" t="str">
        <f t="shared" si="90"/>
        <v>R</v>
      </c>
      <c r="G374">
        <f t="shared" si="78"/>
        <v>0</v>
      </c>
      <c r="H374" t="s">
        <v>10</v>
      </c>
      <c r="I374" t="str">
        <f t="shared" si="89"/>
        <v>R</v>
      </c>
      <c r="J374" t="str">
        <f t="shared" si="91"/>
        <v>Yes</v>
      </c>
      <c r="K374">
        <f t="shared" si="79"/>
        <v>1</v>
      </c>
      <c r="L374" t="str">
        <f t="shared" si="92"/>
        <v>Yes</v>
      </c>
      <c r="M374">
        <f t="shared" si="80"/>
        <v>1</v>
      </c>
      <c r="N374" t="s">
        <v>0</v>
      </c>
      <c r="O374" t="s">
        <v>463</v>
      </c>
      <c r="P374" t="s">
        <v>254</v>
      </c>
      <c r="Q374" t="s">
        <v>3</v>
      </c>
    </row>
    <row r="375" spans="1:17" x14ac:dyDescent="0.3">
      <c r="A375" t="s">
        <v>275</v>
      </c>
      <c r="B375" t="s">
        <v>758</v>
      </c>
      <c r="C375" t="s">
        <v>280</v>
      </c>
      <c r="D375" t="s">
        <v>761</v>
      </c>
      <c r="E375" t="s">
        <v>10</v>
      </c>
      <c r="F375" t="str">
        <f t="shared" si="90"/>
        <v>R</v>
      </c>
      <c r="G375">
        <f t="shared" si="78"/>
        <v>0</v>
      </c>
      <c r="H375" t="s">
        <v>10</v>
      </c>
      <c r="I375" t="str">
        <f t="shared" si="89"/>
        <v>R</v>
      </c>
      <c r="J375" t="str">
        <f t="shared" si="91"/>
        <v>Yes</v>
      </c>
      <c r="K375">
        <f t="shared" si="79"/>
        <v>1</v>
      </c>
      <c r="L375" t="str">
        <f t="shared" si="92"/>
        <v>Yes</v>
      </c>
      <c r="M375">
        <f t="shared" si="80"/>
        <v>1</v>
      </c>
      <c r="N375" t="s">
        <v>0</v>
      </c>
      <c r="O375" t="s">
        <v>463</v>
      </c>
      <c r="P375" t="s">
        <v>254</v>
      </c>
      <c r="Q375" t="s">
        <v>3</v>
      </c>
    </row>
    <row r="376" spans="1:17" x14ac:dyDescent="0.3">
      <c r="A376" t="s">
        <v>275</v>
      </c>
      <c r="B376" t="s">
        <v>758</v>
      </c>
      <c r="C376" t="s">
        <v>282</v>
      </c>
      <c r="D376" t="s">
        <v>762</v>
      </c>
      <c r="E376" t="s">
        <v>10</v>
      </c>
      <c r="F376" t="str">
        <f t="shared" si="90"/>
        <v>R</v>
      </c>
      <c r="G376">
        <f t="shared" si="78"/>
        <v>0</v>
      </c>
      <c r="H376" t="s">
        <v>10</v>
      </c>
      <c r="I376" t="str">
        <f t="shared" si="89"/>
        <v>R</v>
      </c>
      <c r="J376" t="str">
        <f t="shared" si="91"/>
        <v>Yes</v>
      </c>
      <c r="K376">
        <f t="shared" si="79"/>
        <v>1</v>
      </c>
      <c r="L376" t="str">
        <f t="shared" si="92"/>
        <v>Yes</v>
      </c>
      <c r="M376">
        <f t="shared" si="80"/>
        <v>1</v>
      </c>
      <c r="N376" t="s">
        <v>0</v>
      </c>
      <c r="O376" t="s">
        <v>463</v>
      </c>
      <c r="P376" t="s">
        <v>254</v>
      </c>
      <c r="Q376" t="s">
        <v>3</v>
      </c>
    </row>
    <row r="377" spans="1:17" x14ac:dyDescent="0.3">
      <c r="A377" t="s">
        <v>284</v>
      </c>
      <c r="B377" t="s">
        <v>763</v>
      </c>
      <c r="C377" t="s">
        <v>764</v>
      </c>
      <c r="D377" t="s">
        <v>765</v>
      </c>
      <c r="E377" t="s">
        <v>44</v>
      </c>
      <c r="F377" t="str">
        <f t="shared" si="90"/>
        <v>CS</v>
      </c>
      <c r="G377">
        <f t="shared" si="78"/>
        <v>1</v>
      </c>
      <c r="H377" t="s">
        <v>10</v>
      </c>
      <c r="I377" t="str">
        <f t="shared" si="89"/>
        <v>R</v>
      </c>
      <c r="J377" t="str">
        <f t="shared" si="91"/>
        <v>No</v>
      </c>
      <c r="K377">
        <f t="shared" si="79"/>
        <v>0</v>
      </c>
      <c r="L377" t="str">
        <f t="shared" si="92"/>
        <v>No</v>
      </c>
      <c r="M377">
        <f t="shared" si="80"/>
        <v>0</v>
      </c>
      <c r="N377" t="s">
        <v>0</v>
      </c>
      <c r="O377" t="s">
        <v>463</v>
      </c>
      <c r="P377" t="s">
        <v>254</v>
      </c>
      <c r="Q377" t="s">
        <v>3</v>
      </c>
    </row>
    <row r="378" spans="1:17" x14ac:dyDescent="0.3">
      <c r="A378" t="s">
        <v>284</v>
      </c>
      <c r="B378" t="s">
        <v>763</v>
      </c>
      <c r="C378" t="s">
        <v>288</v>
      </c>
      <c r="D378" t="s">
        <v>766</v>
      </c>
      <c r="E378" t="s">
        <v>59</v>
      </c>
      <c r="F378" t="str">
        <f t="shared" si="90"/>
        <v>CS</v>
      </c>
      <c r="G378">
        <f t="shared" si="78"/>
        <v>1</v>
      </c>
      <c r="H378" t="s">
        <v>10</v>
      </c>
      <c r="I378" t="str">
        <f t="shared" si="89"/>
        <v>R</v>
      </c>
      <c r="J378" t="str">
        <f t="shared" si="91"/>
        <v>No</v>
      </c>
      <c r="K378">
        <f t="shared" si="79"/>
        <v>0</v>
      </c>
      <c r="L378" t="str">
        <f t="shared" si="92"/>
        <v>No</v>
      </c>
      <c r="M378">
        <f t="shared" si="80"/>
        <v>0</v>
      </c>
      <c r="N378" t="s">
        <v>0</v>
      </c>
      <c r="O378" t="s">
        <v>463</v>
      </c>
      <c r="P378" t="s">
        <v>254</v>
      </c>
      <c r="Q378" t="s">
        <v>3</v>
      </c>
    </row>
    <row r="379" spans="1:17" x14ac:dyDescent="0.3">
      <c r="A379" t="s">
        <v>290</v>
      </c>
      <c r="B379" t="s">
        <v>767</v>
      </c>
      <c r="C379" t="s">
        <v>292</v>
      </c>
      <c r="D379" t="s">
        <v>768</v>
      </c>
      <c r="E379" t="s">
        <v>10</v>
      </c>
      <c r="F379" t="str">
        <f t="shared" si="90"/>
        <v>R</v>
      </c>
      <c r="G379">
        <f t="shared" si="78"/>
        <v>0</v>
      </c>
      <c r="H379" t="s">
        <v>59</v>
      </c>
      <c r="I379" t="str">
        <f t="shared" si="89"/>
        <v>CS</v>
      </c>
      <c r="J379" t="str">
        <f t="shared" si="91"/>
        <v>No</v>
      </c>
      <c r="K379">
        <f t="shared" si="79"/>
        <v>0</v>
      </c>
      <c r="L379" t="str">
        <f t="shared" si="92"/>
        <v>No</v>
      </c>
      <c r="M379">
        <f t="shared" si="80"/>
        <v>0</v>
      </c>
      <c r="N379" t="s">
        <v>0</v>
      </c>
      <c r="O379" t="s">
        <v>463</v>
      </c>
      <c r="P379" t="s">
        <v>254</v>
      </c>
      <c r="Q379" t="s">
        <v>3</v>
      </c>
    </row>
    <row r="380" spans="1:17" x14ac:dyDescent="0.3">
      <c r="A380" t="s">
        <v>290</v>
      </c>
      <c r="B380" t="s">
        <v>767</v>
      </c>
      <c r="C380" t="s">
        <v>294</v>
      </c>
      <c r="D380" t="s">
        <v>769</v>
      </c>
      <c r="E380" t="s">
        <v>172</v>
      </c>
      <c r="F380" t="str">
        <f t="shared" si="90"/>
        <v>CS</v>
      </c>
      <c r="G380">
        <f t="shared" si="78"/>
        <v>1</v>
      </c>
      <c r="H380" t="s">
        <v>10</v>
      </c>
      <c r="I380" t="str">
        <f t="shared" si="89"/>
        <v>R</v>
      </c>
      <c r="J380" t="str">
        <f t="shared" si="91"/>
        <v>No</v>
      </c>
      <c r="K380">
        <f t="shared" si="79"/>
        <v>0</v>
      </c>
      <c r="L380" t="str">
        <f t="shared" si="92"/>
        <v>No</v>
      </c>
      <c r="M380">
        <f t="shared" si="80"/>
        <v>0</v>
      </c>
      <c r="N380" t="s">
        <v>0</v>
      </c>
      <c r="O380" t="s">
        <v>463</v>
      </c>
      <c r="P380" t="s">
        <v>254</v>
      </c>
      <c r="Q380" t="s">
        <v>3</v>
      </c>
    </row>
    <row r="381" spans="1:17" x14ac:dyDescent="0.3">
      <c r="A381" t="s">
        <v>296</v>
      </c>
      <c r="B381" t="s">
        <v>770</v>
      </c>
      <c r="C381" t="s">
        <v>298</v>
      </c>
      <c r="D381" t="s">
        <v>771</v>
      </c>
      <c r="E381" t="s">
        <v>10</v>
      </c>
      <c r="F381" t="str">
        <f t="shared" si="90"/>
        <v>R</v>
      </c>
      <c r="G381">
        <f t="shared" si="78"/>
        <v>0</v>
      </c>
      <c r="H381" t="s">
        <v>10</v>
      </c>
      <c r="I381" t="str">
        <f t="shared" si="89"/>
        <v>R</v>
      </c>
      <c r="J381" t="str">
        <f t="shared" si="91"/>
        <v>Yes</v>
      </c>
      <c r="K381">
        <f t="shared" si="79"/>
        <v>1</v>
      </c>
      <c r="L381" t="str">
        <f t="shared" si="92"/>
        <v>Yes</v>
      </c>
      <c r="M381">
        <f t="shared" si="80"/>
        <v>1</v>
      </c>
      <c r="N381" t="s">
        <v>0</v>
      </c>
      <c r="O381" t="s">
        <v>463</v>
      </c>
      <c r="P381" t="s">
        <v>254</v>
      </c>
      <c r="Q381" t="s">
        <v>3</v>
      </c>
    </row>
    <row r="382" spans="1:17" x14ac:dyDescent="0.3">
      <c r="A382" t="s">
        <v>296</v>
      </c>
      <c r="B382" t="s">
        <v>770</v>
      </c>
      <c r="C382" t="s">
        <v>300</v>
      </c>
      <c r="D382" t="s">
        <v>772</v>
      </c>
      <c r="E382" t="s">
        <v>59</v>
      </c>
      <c r="F382" t="str">
        <f t="shared" si="90"/>
        <v>CS</v>
      </c>
      <c r="G382">
        <f t="shared" si="78"/>
        <v>1</v>
      </c>
      <c r="H382" t="s">
        <v>25</v>
      </c>
      <c r="I382" t="str">
        <f t="shared" si="89"/>
        <v>CS</v>
      </c>
      <c r="J382" t="str">
        <f t="shared" si="91"/>
        <v>Yes</v>
      </c>
      <c r="K382">
        <f t="shared" si="79"/>
        <v>1</v>
      </c>
      <c r="L382" t="str">
        <f t="shared" si="92"/>
        <v>No</v>
      </c>
      <c r="M382">
        <f t="shared" si="80"/>
        <v>0</v>
      </c>
      <c r="N382" t="s">
        <v>0</v>
      </c>
      <c r="O382" t="s">
        <v>463</v>
      </c>
      <c r="P382" t="s">
        <v>254</v>
      </c>
      <c r="Q382" t="s">
        <v>3</v>
      </c>
    </row>
    <row r="383" spans="1:17" x14ac:dyDescent="0.3">
      <c r="A383" t="s">
        <v>302</v>
      </c>
      <c r="B383" t="s">
        <v>773</v>
      </c>
      <c r="C383" t="s">
        <v>304</v>
      </c>
      <c r="D383" t="s">
        <v>774</v>
      </c>
      <c r="E383" t="s">
        <v>10</v>
      </c>
      <c r="F383" t="str">
        <f t="shared" si="90"/>
        <v>R</v>
      </c>
      <c r="G383">
        <f t="shared" si="78"/>
        <v>0</v>
      </c>
      <c r="H383" t="s">
        <v>25</v>
      </c>
      <c r="I383" t="str">
        <f t="shared" si="89"/>
        <v>CS</v>
      </c>
      <c r="J383" t="str">
        <f t="shared" si="91"/>
        <v>No</v>
      </c>
      <c r="K383">
        <f t="shared" si="79"/>
        <v>0</v>
      </c>
      <c r="L383" t="str">
        <f t="shared" si="92"/>
        <v>No</v>
      </c>
      <c r="M383">
        <f t="shared" si="80"/>
        <v>0</v>
      </c>
      <c r="N383" t="s">
        <v>0</v>
      </c>
      <c r="O383" t="s">
        <v>463</v>
      </c>
      <c r="P383" t="s">
        <v>254</v>
      </c>
      <c r="Q383" t="s">
        <v>3</v>
      </c>
    </row>
    <row r="384" spans="1:17" x14ac:dyDescent="0.3">
      <c r="A384" t="s">
        <v>302</v>
      </c>
      <c r="B384" t="s">
        <v>773</v>
      </c>
      <c r="C384" t="s">
        <v>306</v>
      </c>
      <c r="D384" t="s">
        <v>775</v>
      </c>
      <c r="E384" t="s">
        <v>10</v>
      </c>
      <c r="F384" t="str">
        <f t="shared" si="90"/>
        <v>R</v>
      </c>
      <c r="G384">
        <f t="shared" si="78"/>
        <v>0</v>
      </c>
      <c r="H384" t="s">
        <v>10</v>
      </c>
      <c r="I384" t="str">
        <f t="shared" si="89"/>
        <v>R</v>
      </c>
      <c r="J384" t="str">
        <f t="shared" si="91"/>
        <v>Yes</v>
      </c>
      <c r="K384">
        <f t="shared" si="79"/>
        <v>1</v>
      </c>
      <c r="L384" t="str">
        <f t="shared" si="92"/>
        <v>Yes</v>
      </c>
      <c r="M384">
        <f t="shared" si="80"/>
        <v>1</v>
      </c>
      <c r="N384" t="s">
        <v>0</v>
      </c>
      <c r="O384" t="s">
        <v>463</v>
      </c>
      <c r="P384" t="s">
        <v>254</v>
      </c>
      <c r="Q384" t="s">
        <v>3</v>
      </c>
    </row>
    <row r="385" spans="1:17" x14ac:dyDescent="0.3">
      <c r="A385" t="s">
        <v>308</v>
      </c>
      <c r="B385" t="s">
        <v>776</v>
      </c>
      <c r="C385" t="s">
        <v>310</v>
      </c>
      <c r="D385" t="s">
        <v>777</v>
      </c>
      <c r="E385" t="s">
        <v>59</v>
      </c>
      <c r="F385" t="str">
        <f t="shared" si="90"/>
        <v>CS</v>
      </c>
      <c r="G385">
        <f t="shared" si="78"/>
        <v>1</v>
      </c>
      <c r="H385" t="s">
        <v>10</v>
      </c>
      <c r="I385" t="str">
        <f t="shared" si="89"/>
        <v>R</v>
      </c>
      <c r="J385" t="str">
        <f t="shared" si="91"/>
        <v>No</v>
      </c>
      <c r="K385">
        <f t="shared" si="79"/>
        <v>0</v>
      </c>
      <c r="L385" t="str">
        <f t="shared" si="92"/>
        <v>No</v>
      </c>
      <c r="M385">
        <f t="shared" si="80"/>
        <v>0</v>
      </c>
      <c r="N385" t="s">
        <v>0</v>
      </c>
      <c r="O385" t="s">
        <v>463</v>
      </c>
      <c r="P385" t="s">
        <v>254</v>
      </c>
      <c r="Q385" t="s">
        <v>3</v>
      </c>
    </row>
    <row r="386" spans="1:17" x14ac:dyDescent="0.3">
      <c r="A386" t="s">
        <v>308</v>
      </c>
      <c r="B386" t="s">
        <v>776</v>
      </c>
      <c r="C386" t="s">
        <v>312</v>
      </c>
      <c r="D386" t="s">
        <v>778</v>
      </c>
      <c r="E386" t="s">
        <v>172</v>
      </c>
      <c r="F386" t="str">
        <f t="shared" si="90"/>
        <v>CS</v>
      </c>
      <c r="G386">
        <f t="shared" si="78"/>
        <v>1</v>
      </c>
      <c r="H386" t="s">
        <v>59</v>
      </c>
      <c r="I386" t="str">
        <f t="shared" si="89"/>
        <v>CS</v>
      </c>
      <c r="J386" t="str">
        <f t="shared" si="91"/>
        <v>Yes</v>
      </c>
      <c r="K386">
        <f t="shared" si="79"/>
        <v>1</v>
      </c>
      <c r="L386" t="str">
        <f t="shared" si="92"/>
        <v>No</v>
      </c>
      <c r="M386">
        <f t="shared" si="80"/>
        <v>0</v>
      </c>
      <c r="N386" t="s">
        <v>0</v>
      </c>
      <c r="O386" t="s">
        <v>463</v>
      </c>
      <c r="P386" t="s">
        <v>254</v>
      </c>
      <c r="Q386" t="s">
        <v>3</v>
      </c>
    </row>
    <row r="387" spans="1:17" x14ac:dyDescent="0.3">
      <c r="A387" t="s">
        <v>314</v>
      </c>
      <c r="B387" t="s">
        <v>779</v>
      </c>
      <c r="C387" t="s">
        <v>316</v>
      </c>
      <c r="D387" t="s">
        <v>780</v>
      </c>
      <c r="E387" t="s">
        <v>10</v>
      </c>
      <c r="F387" t="str">
        <f t="shared" si="90"/>
        <v>R</v>
      </c>
      <c r="G387">
        <f t="shared" ref="G387:G450" si="93">IF(F387="R",0,(IF(F387="CS",1,"HELP")))</f>
        <v>0</v>
      </c>
      <c r="H387" t="s">
        <v>10</v>
      </c>
      <c r="I387" t="str">
        <f t="shared" si="89"/>
        <v>R</v>
      </c>
      <c r="J387" t="str">
        <f t="shared" si="91"/>
        <v>Yes</v>
      </c>
      <c r="K387">
        <f t="shared" ref="K387:K450" si="94">IF(J387="Yes", 1, 0)</f>
        <v>1</v>
      </c>
      <c r="L387" t="str">
        <f t="shared" si="92"/>
        <v>Yes</v>
      </c>
      <c r="M387">
        <f t="shared" ref="M387:M450" si="95">IF(L387="Yes", 1, 0)</f>
        <v>1</v>
      </c>
      <c r="N387" t="s">
        <v>0</v>
      </c>
      <c r="O387" t="s">
        <v>463</v>
      </c>
      <c r="P387" t="s">
        <v>254</v>
      </c>
      <c r="Q387" t="s">
        <v>3</v>
      </c>
    </row>
    <row r="388" spans="1:17" x14ac:dyDescent="0.3">
      <c r="A388" t="s">
        <v>318</v>
      </c>
      <c r="B388" t="s">
        <v>781</v>
      </c>
      <c r="C388" t="s">
        <v>320</v>
      </c>
      <c r="D388" t="s">
        <v>782</v>
      </c>
      <c r="E388" t="s">
        <v>59</v>
      </c>
      <c r="F388" t="str">
        <f t="shared" si="90"/>
        <v>CS</v>
      </c>
      <c r="G388">
        <f t="shared" si="93"/>
        <v>1</v>
      </c>
      <c r="H388" t="s">
        <v>10</v>
      </c>
      <c r="I388" t="str">
        <f t="shared" si="89"/>
        <v>R</v>
      </c>
      <c r="J388" t="str">
        <f t="shared" si="91"/>
        <v>No</v>
      </c>
      <c r="K388">
        <f t="shared" si="94"/>
        <v>0</v>
      </c>
      <c r="L388" t="str">
        <f t="shared" si="92"/>
        <v>No</v>
      </c>
      <c r="M388">
        <f t="shared" si="95"/>
        <v>0</v>
      </c>
      <c r="N388" t="s">
        <v>0</v>
      </c>
      <c r="O388" t="s">
        <v>463</v>
      </c>
      <c r="P388" t="s">
        <v>254</v>
      </c>
      <c r="Q388" t="s">
        <v>3</v>
      </c>
    </row>
    <row r="389" spans="1:17" x14ac:dyDescent="0.3">
      <c r="A389" t="s">
        <v>255</v>
      </c>
      <c r="B389" t="s">
        <v>783</v>
      </c>
      <c r="C389" t="s">
        <v>257</v>
      </c>
      <c r="D389" t="s">
        <v>784</v>
      </c>
      <c r="E389" t="s">
        <v>10</v>
      </c>
      <c r="F389" t="str">
        <f>IF(E389="R", "R", "CS")</f>
        <v>R</v>
      </c>
      <c r="G389">
        <f t="shared" si="93"/>
        <v>0</v>
      </c>
      <c r="H389" t="s">
        <v>10</v>
      </c>
      <c r="I389" t="str">
        <f>IF(H389="R", "R")</f>
        <v>R</v>
      </c>
      <c r="J389" t="str">
        <f>IF(F389=I389, "Yes", "No")</f>
        <v>Yes</v>
      </c>
      <c r="K389">
        <f t="shared" si="94"/>
        <v>1</v>
      </c>
      <c r="L389" t="str">
        <f>IF(E389=H389, "Yes", "No")</f>
        <v>Yes</v>
      </c>
      <c r="M389">
        <f t="shared" si="95"/>
        <v>1</v>
      </c>
      <c r="N389" t="s">
        <v>0</v>
      </c>
      <c r="O389" t="s">
        <v>463</v>
      </c>
      <c r="P389" t="s">
        <v>254</v>
      </c>
      <c r="Q389" t="s">
        <v>74</v>
      </c>
    </row>
    <row r="390" spans="1:17" x14ac:dyDescent="0.3">
      <c r="A390" t="s">
        <v>255</v>
      </c>
      <c r="B390" t="s">
        <v>783</v>
      </c>
      <c r="C390" t="s">
        <v>259</v>
      </c>
      <c r="D390" t="s">
        <v>785</v>
      </c>
      <c r="E390" t="s">
        <v>59</v>
      </c>
      <c r="F390" t="str">
        <f t="shared" ref="F390:F412" si="96">IF(E390="R", "R", "CS")</f>
        <v>CS</v>
      </c>
      <c r="G390">
        <f t="shared" si="93"/>
        <v>1</v>
      </c>
      <c r="H390" t="s">
        <v>25</v>
      </c>
      <c r="I390" t="s">
        <v>25</v>
      </c>
      <c r="J390" t="str">
        <f t="shared" ref="J390:J412" si="97">IF(F390=I390, "Yes", "No")</f>
        <v>Yes</v>
      </c>
      <c r="K390">
        <f t="shared" si="94"/>
        <v>1</v>
      </c>
      <c r="L390" t="str">
        <f t="shared" ref="L390:L412" si="98">IF(E390=H390, "Yes", "No")</f>
        <v>No</v>
      </c>
      <c r="M390">
        <f t="shared" si="95"/>
        <v>0</v>
      </c>
      <c r="N390" t="s">
        <v>0</v>
      </c>
      <c r="O390" t="s">
        <v>463</v>
      </c>
      <c r="P390" t="s">
        <v>254</v>
      </c>
      <c r="Q390" t="s">
        <v>74</v>
      </c>
    </row>
    <row r="391" spans="1:17" x14ac:dyDescent="0.3">
      <c r="A391" t="s">
        <v>255</v>
      </c>
      <c r="B391" t="s">
        <v>783</v>
      </c>
      <c r="C391" t="s">
        <v>261</v>
      </c>
      <c r="D391" t="s">
        <v>786</v>
      </c>
      <c r="E391" t="s">
        <v>59</v>
      </c>
      <c r="F391" t="str">
        <f t="shared" si="96"/>
        <v>CS</v>
      </c>
      <c r="G391">
        <f t="shared" si="93"/>
        <v>1</v>
      </c>
      <c r="H391" t="s">
        <v>59</v>
      </c>
      <c r="I391" t="s">
        <v>25</v>
      </c>
      <c r="J391" t="str">
        <f t="shared" si="97"/>
        <v>Yes</v>
      </c>
      <c r="K391">
        <f t="shared" si="94"/>
        <v>1</v>
      </c>
      <c r="L391" t="str">
        <f t="shared" si="98"/>
        <v>Yes</v>
      </c>
      <c r="M391">
        <f t="shared" si="95"/>
        <v>1</v>
      </c>
      <c r="N391" t="s">
        <v>0</v>
      </c>
      <c r="O391" t="s">
        <v>463</v>
      </c>
      <c r="P391" t="s">
        <v>254</v>
      </c>
      <c r="Q391" t="s">
        <v>74</v>
      </c>
    </row>
    <row r="392" spans="1:17" x14ac:dyDescent="0.3">
      <c r="A392" t="s">
        <v>255</v>
      </c>
      <c r="B392" t="s">
        <v>783</v>
      </c>
      <c r="C392" t="s">
        <v>263</v>
      </c>
      <c r="D392" t="s">
        <v>787</v>
      </c>
      <c r="E392" t="s">
        <v>10</v>
      </c>
      <c r="F392" t="str">
        <f t="shared" si="96"/>
        <v>R</v>
      </c>
      <c r="G392">
        <f t="shared" si="93"/>
        <v>0</v>
      </c>
      <c r="H392" t="s">
        <v>10</v>
      </c>
      <c r="I392" t="str">
        <f t="shared" ref="I392:I412" si="99">IF(H392="R", "R")</f>
        <v>R</v>
      </c>
      <c r="J392" t="str">
        <f t="shared" si="97"/>
        <v>Yes</v>
      </c>
      <c r="K392">
        <f t="shared" si="94"/>
        <v>1</v>
      </c>
      <c r="L392" t="str">
        <f t="shared" si="98"/>
        <v>Yes</v>
      </c>
      <c r="M392">
        <f t="shared" si="95"/>
        <v>1</v>
      </c>
      <c r="N392" t="s">
        <v>0</v>
      </c>
      <c r="O392" t="s">
        <v>463</v>
      </c>
      <c r="P392" t="s">
        <v>254</v>
      </c>
      <c r="Q392" t="s">
        <v>74</v>
      </c>
    </row>
    <row r="393" spans="1:17" x14ac:dyDescent="0.3">
      <c r="A393" t="s">
        <v>265</v>
      </c>
      <c r="B393" t="s">
        <v>788</v>
      </c>
      <c r="C393" t="s">
        <v>267</v>
      </c>
      <c r="D393" t="s">
        <v>789</v>
      </c>
      <c r="E393" t="s">
        <v>10</v>
      </c>
      <c r="F393" t="str">
        <f t="shared" si="96"/>
        <v>R</v>
      </c>
      <c r="G393">
        <f t="shared" si="93"/>
        <v>0</v>
      </c>
      <c r="H393" t="s">
        <v>10</v>
      </c>
      <c r="I393" t="str">
        <f t="shared" si="99"/>
        <v>R</v>
      </c>
      <c r="J393" t="str">
        <f t="shared" si="97"/>
        <v>Yes</v>
      </c>
      <c r="K393">
        <f t="shared" si="94"/>
        <v>1</v>
      </c>
      <c r="L393" t="str">
        <f t="shared" si="98"/>
        <v>Yes</v>
      </c>
      <c r="M393">
        <f t="shared" si="95"/>
        <v>1</v>
      </c>
      <c r="N393" t="s">
        <v>0</v>
      </c>
      <c r="O393" t="s">
        <v>463</v>
      </c>
      <c r="P393" t="s">
        <v>254</v>
      </c>
      <c r="Q393" t="s">
        <v>74</v>
      </c>
    </row>
    <row r="394" spans="1:17" x14ac:dyDescent="0.3">
      <c r="A394" t="s">
        <v>265</v>
      </c>
      <c r="B394" t="s">
        <v>788</v>
      </c>
      <c r="C394" t="s">
        <v>269</v>
      </c>
      <c r="D394" t="s">
        <v>755</v>
      </c>
      <c r="E394" t="s">
        <v>10</v>
      </c>
      <c r="F394" t="str">
        <f t="shared" si="96"/>
        <v>R</v>
      </c>
      <c r="G394">
        <f t="shared" si="93"/>
        <v>0</v>
      </c>
      <c r="H394" t="s">
        <v>10</v>
      </c>
      <c r="I394" t="str">
        <f t="shared" si="99"/>
        <v>R</v>
      </c>
      <c r="J394" t="str">
        <f t="shared" si="97"/>
        <v>Yes</v>
      </c>
      <c r="K394">
        <f t="shared" si="94"/>
        <v>1</v>
      </c>
      <c r="L394" t="str">
        <f t="shared" si="98"/>
        <v>Yes</v>
      </c>
      <c r="M394">
        <f t="shared" si="95"/>
        <v>1</v>
      </c>
      <c r="N394" t="s">
        <v>0</v>
      </c>
      <c r="O394" t="s">
        <v>463</v>
      </c>
      <c r="P394" t="s">
        <v>254</v>
      </c>
      <c r="Q394" t="s">
        <v>74</v>
      </c>
    </row>
    <row r="395" spans="1:17" x14ac:dyDescent="0.3">
      <c r="A395" t="s">
        <v>265</v>
      </c>
      <c r="B395" t="s">
        <v>788</v>
      </c>
      <c r="C395" t="s">
        <v>271</v>
      </c>
      <c r="D395" t="s">
        <v>790</v>
      </c>
      <c r="E395" t="s">
        <v>10</v>
      </c>
      <c r="F395" t="str">
        <f t="shared" si="96"/>
        <v>R</v>
      </c>
      <c r="G395">
        <f t="shared" si="93"/>
        <v>0</v>
      </c>
      <c r="H395" t="s">
        <v>44</v>
      </c>
      <c r="I395" t="s">
        <v>25</v>
      </c>
      <c r="J395" t="str">
        <f t="shared" si="97"/>
        <v>No</v>
      </c>
      <c r="K395">
        <f t="shared" si="94"/>
        <v>0</v>
      </c>
      <c r="L395" t="str">
        <f t="shared" si="98"/>
        <v>No</v>
      </c>
      <c r="M395">
        <f t="shared" si="95"/>
        <v>0</v>
      </c>
      <c r="N395" t="s">
        <v>0</v>
      </c>
      <c r="O395" t="s">
        <v>463</v>
      </c>
      <c r="P395" t="s">
        <v>254</v>
      </c>
      <c r="Q395" t="s">
        <v>74</v>
      </c>
    </row>
    <row r="396" spans="1:17" x14ac:dyDescent="0.3">
      <c r="A396" t="s">
        <v>265</v>
      </c>
      <c r="B396" t="s">
        <v>788</v>
      </c>
      <c r="C396" t="s">
        <v>273</v>
      </c>
      <c r="D396" t="s">
        <v>791</v>
      </c>
      <c r="E396" t="s">
        <v>10</v>
      </c>
      <c r="F396" t="str">
        <f t="shared" si="96"/>
        <v>R</v>
      </c>
      <c r="G396">
        <f t="shared" si="93"/>
        <v>0</v>
      </c>
      <c r="H396" t="s">
        <v>10</v>
      </c>
      <c r="I396" t="str">
        <f t="shared" si="99"/>
        <v>R</v>
      </c>
      <c r="J396" t="str">
        <f t="shared" si="97"/>
        <v>Yes</v>
      </c>
      <c r="K396">
        <f t="shared" si="94"/>
        <v>1</v>
      </c>
      <c r="L396" t="str">
        <f t="shared" si="98"/>
        <v>Yes</v>
      </c>
      <c r="M396">
        <f t="shared" si="95"/>
        <v>1</v>
      </c>
      <c r="N396" t="s">
        <v>0</v>
      </c>
      <c r="O396" t="s">
        <v>463</v>
      </c>
      <c r="P396" t="s">
        <v>254</v>
      </c>
      <c r="Q396" t="s">
        <v>74</v>
      </c>
    </row>
    <row r="397" spans="1:17" x14ac:dyDescent="0.3">
      <c r="A397" t="s">
        <v>275</v>
      </c>
      <c r="B397" t="s">
        <v>792</v>
      </c>
      <c r="C397" t="s">
        <v>277</v>
      </c>
      <c r="D397" t="s">
        <v>793</v>
      </c>
      <c r="E397" t="s">
        <v>10</v>
      </c>
      <c r="F397" t="str">
        <f t="shared" si="96"/>
        <v>R</v>
      </c>
      <c r="G397">
        <f t="shared" si="93"/>
        <v>0</v>
      </c>
      <c r="H397" t="s">
        <v>10</v>
      </c>
      <c r="I397" t="str">
        <f t="shared" si="99"/>
        <v>R</v>
      </c>
      <c r="J397" t="str">
        <f t="shared" si="97"/>
        <v>Yes</v>
      </c>
      <c r="K397">
        <f t="shared" si="94"/>
        <v>1</v>
      </c>
      <c r="L397" t="str">
        <f t="shared" si="98"/>
        <v>Yes</v>
      </c>
      <c r="M397">
        <f t="shared" si="95"/>
        <v>1</v>
      </c>
      <c r="N397" t="s">
        <v>0</v>
      </c>
      <c r="O397" t="s">
        <v>463</v>
      </c>
      <c r="P397" t="s">
        <v>254</v>
      </c>
      <c r="Q397" t="s">
        <v>74</v>
      </c>
    </row>
    <row r="398" spans="1:17" x14ac:dyDescent="0.3">
      <c r="A398" t="s">
        <v>275</v>
      </c>
      <c r="B398" t="s">
        <v>792</v>
      </c>
      <c r="C398" t="s">
        <v>279</v>
      </c>
      <c r="D398" t="s">
        <v>794</v>
      </c>
      <c r="E398" t="s">
        <v>10</v>
      </c>
      <c r="F398" t="str">
        <f t="shared" si="96"/>
        <v>R</v>
      </c>
      <c r="G398">
        <f t="shared" si="93"/>
        <v>0</v>
      </c>
      <c r="H398" t="s">
        <v>10</v>
      </c>
      <c r="I398" t="str">
        <f t="shared" si="99"/>
        <v>R</v>
      </c>
      <c r="J398" t="str">
        <f t="shared" si="97"/>
        <v>Yes</v>
      </c>
      <c r="K398">
        <f t="shared" si="94"/>
        <v>1</v>
      </c>
      <c r="L398" t="str">
        <f t="shared" si="98"/>
        <v>Yes</v>
      </c>
      <c r="M398">
        <f t="shared" si="95"/>
        <v>1</v>
      </c>
      <c r="N398" t="s">
        <v>0</v>
      </c>
      <c r="O398" t="s">
        <v>463</v>
      </c>
      <c r="P398" t="s">
        <v>254</v>
      </c>
      <c r="Q398" t="s">
        <v>74</v>
      </c>
    </row>
    <row r="399" spans="1:17" x14ac:dyDescent="0.3">
      <c r="A399" t="s">
        <v>275</v>
      </c>
      <c r="B399" t="s">
        <v>792</v>
      </c>
      <c r="C399" t="s">
        <v>280</v>
      </c>
      <c r="D399" t="s">
        <v>795</v>
      </c>
      <c r="E399" t="s">
        <v>44</v>
      </c>
      <c r="F399" t="str">
        <f t="shared" si="96"/>
        <v>CS</v>
      </c>
      <c r="G399">
        <f t="shared" si="93"/>
        <v>1</v>
      </c>
      <c r="H399" t="s">
        <v>44</v>
      </c>
      <c r="I399" t="s">
        <v>25</v>
      </c>
      <c r="J399" t="str">
        <f t="shared" si="97"/>
        <v>Yes</v>
      </c>
      <c r="K399">
        <f t="shared" si="94"/>
        <v>1</v>
      </c>
      <c r="L399" t="str">
        <f t="shared" si="98"/>
        <v>Yes</v>
      </c>
      <c r="M399">
        <f t="shared" si="95"/>
        <v>1</v>
      </c>
      <c r="N399" t="s">
        <v>0</v>
      </c>
      <c r="O399" t="s">
        <v>463</v>
      </c>
      <c r="P399" t="s">
        <v>254</v>
      </c>
      <c r="Q399" t="s">
        <v>74</v>
      </c>
    </row>
    <row r="400" spans="1:17" x14ac:dyDescent="0.3">
      <c r="A400" t="s">
        <v>275</v>
      </c>
      <c r="B400" t="s">
        <v>792</v>
      </c>
      <c r="C400" t="s">
        <v>282</v>
      </c>
      <c r="D400" t="s">
        <v>796</v>
      </c>
      <c r="E400" t="s">
        <v>10</v>
      </c>
      <c r="F400" t="str">
        <f t="shared" si="96"/>
        <v>R</v>
      </c>
      <c r="G400">
        <f t="shared" si="93"/>
        <v>0</v>
      </c>
      <c r="H400" t="s">
        <v>59</v>
      </c>
      <c r="I400" t="s">
        <v>25</v>
      </c>
      <c r="J400" t="str">
        <f t="shared" si="97"/>
        <v>No</v>
      </c>
      <c r="K400">
        <f t="shared" si="94"/>
        <v>0</v>
      </c>
      <c r="L400" t="str">
        <f t="shared" si="98"/>
        <v>No</v>
      </c>
      <c r="M400">
        <f t="shared" si="95"/>
        <v>0</v>
      </c>
      <c r="N400" t="s">
        <v>0</v>
      </c>
      <c r="O400" t="s">
        <v>463</v>
      </c>
      <c r="P400" t="s">
        <v>254</v>
      </c>
      <c r="Q400" t="s">
        <v>74</v>
      </c>
    </row>
    <row r="401" spans="1:17" x14ac:dyDescent="0.3">
      <c r="A401" t="s">
        <v>284</v>
      </c>
      <c r="B401" t="s">
        <v>797</v>
      </c>
      <c r="C401" t="s">
        <v>764</v>
      </c>
      <c r="D401" t="s">
        <v>798</v>
      </c>
      <c r="E401" t="s">
        <v>10</v>
      </c>
      <c r="F401" t="str">
        <f t="shared" si="96"/>
        <v>R</v>
      </c>
      <c r="G401">
        <f t="shared" si="93"/>
        <v>0</v>
      </c>
      <c r="H401" t="s">
        <v>10</v>
      </c>
      <c r="I401" t="str">
        <f t="shared" si="99"/>
        <v>R</v>
      </c>
      <c r="J401" t="str">
        <f t="shared" si="97"/>
        <v>Yes</v>
      </c>
      <c r="K401">
        <f t="shared" si="94"/>
        <v>1</v>
      </c>
      <c r="L401" t="str">
        <f t="shared" si="98"/>
        <v>Yes</v>
      </c>
      <c r="M401">
        <f t="shared" si="95"/>
        <v>1</v>
      </c>
      <c r="N401" t="s">
        <v>0</v>
      </c>
      <c r="O401" t="s">
        <v>463</v>
      </c>
      <c r="P401" t="s">
        <v>254</v>
      </c>
      <c r="Q401" t="s">
        <v>74</v>
      </c>
    </row>
    <row r="402" spans="1:17" x14ac:dyDescent="0.3">
      <c r="A402" t="s">
        <v>284</v>
      </c>
      <c r="B402" t="s">
        <v>797</v>
      </c>
      <c r="C402" t="s">
        <v>288</v>
      </c>
      <c r="D402" t="s">
        <v>799</v>
      </c>
      <c r="E402" t="s">
        <v>10</v>
      </c>
      <c r="F402" t="str">
        <f t="shared" si="96"/>
        <v>R</v>
      </c>
      <c r="G402">
        <f t="shared" si="93"/>
        <v>0</v>
      </c>
      <c r="H402" t="s">
        <v>10</v>
      </c>
      <c r="I402" t="str">
        <f t="shared" si="99"/>
        <v>R</v>
      </c>
      <c r="J402" t="str">
        <f t="shared" si="97"/>
        <v>Yes</v>
      </c>
      <c r="K402">
        <f t="shared" si="94"/>
        <v>1</v>
      </c>
      <c r="L402" t="str">
        <f t="shared" si="98"/>
        <v>Yes</v>
      </c>
      <c r="M402">
        <f t="shared" si="95"/>
        <v>1</v>
      </c>
      <c r="N402" t="s">
        <v>0</v>
      </c>
      <c r="O402" t="s">
        <v>463</v>
      </c>
      <c r="P402" t="s">
        <v>254</v>
      </c>
      <c r="Q402" t="s">
        <v>74</v>
      </c>
    </row>
    <row r="403" spans="1:17" x14ac:dyDescent="0.3">
      <c r="A403" t="s">
        <v>290</v>
      </c>
      <c r="B403" t="s">
        <v>800</v>
      </c>
      <c r="C403" t="s">
        <v>292</v>
      </c>
      <c r="D403" t="s">
        <v>801</v>
      </c>
      <c r="E403" t="s">
        <v>10</v>
      </c>
      <c r="F403" t="str">
        <f t="shared" si="96"/>
        <v>R</v>
      </c>
      <c r="G403">
        <f t="shared" si="93"/>
        <v>0</v>
      </c>
      <c r="H403" t="s">
        <v>10</v>
      </c>
      <c r="I403" t="str">
        <f t="shared" si="99"/>
        <v>R</v>
      </c>
      <c r="J403" t="str">
        <f t="shared" si="97"/>
        <v>Yes</v>
      </c>
      <c r="K403">
        <f t="shared" si="94"/>
        <v>1</v>
      </c>
      <c r="L403" t="str">
        <f t="shared" si="98"/>
        <v>Yes</v>
      </c>
      <c r="M403">
        <f t="shared" si="95"/>
        <v>1</v>
      </c>
      <c r="N403" t="s">
        <v>0</v>
      </c>
      <c r="O403" t="s">
        <v>463</v>
      </c>
      <c r="P403" t="s">
        <v>254</v>
      </c>
      <c r="Q403" t="s">
        <v>74</v>
      </c>
    </row>
    <row r="404" spans="1:17" x14ac:dyDescent="0.3">
      <c r="A404" t="s">
        <v>290</v>
      </c>
      <c r="B404" t="s">
        <v>800</v>
      </c>
      <c r="C404" t="s">
        <v>294</v>
      </c>
      <c r="D404" t="s">
        <v>801</v>
      </c>
      <c r="E404" t="s">
        <v>10</v>
      </c>
      <c r="F404" t="str">
        <f t="shared" si="96"/>
        <v>R</v>
      </c>
      <c r="G404">
        <f t="shared" si="93"/>
        <v>0</v>
      </c>
      <c r="H404" t="s">
        <v>10</v>
      </c>
      <c r="I404" t="str">
        <f t="shared" si="99"/>
        <v>R</v>
      </c>
      <c r="J404" t="str">
        <f t="shared" si="97"/>
        <v>Yes</v>
      </c>
      <c r="K404">
        <f t="shared" si="94"/>
        <v>1</v>
      </c>
      <c r="L404" t="str">
        <f t="shared" si="98"/>
        <v>Yes</v>
      </c>
      <c r="M404">
        <f t="shared" si="95"/>
        <v>1</v>
      </c>
      <c r="N404" t="s">
        <v>0</v>
      </c>
      <c r="O404" t="s">
        <v>463</v>
      </c>
      <c r="P404" t="s">
        <v>254</v>
      </c>
      <c r="Q404" t="s">
        <v>74</v>
      </c>
    </row>
    <row r="405" spans="1:17" x14ac:dyDescent="0.3">
      <c r="A405" t="s">
        <v>296</v>
      </c>
      <c r="B405" t="s">
        <v>802</v>
      </c>
      <c r="C405" t="s">
        <v>298</v>
      </c>
      <c r="D405" t="s">
        <v>771</v>
      </c>
      <c r="E405" t="s">
        <v>10</v>
      </c>
      <c r="F405" t="str">
        <f t="shared" si="96"/>
        <v>R</v>
      </c>
      <c r="G405">
        <f t="shared" si="93"/>
        <v>0</v>
      </c>
      <c r="H405" t="s">
        <v>10</v>
      </c>
      <c r="I405" t="str">
        <f t="shared" si="99"/>
        <v>R</v>
      </c>
      <c r="J405" t="str">
        <f t="shared" si="97"/>
        <v>Yes</v>
      </c>
      <c r="K405">
        <f t="shared" si="94"/>
        <v>1</v>
      </c>
      <c r="L405" t="str">
        <f t="shared" si="98"/>
        <v>Yes</v>
      </c>
      <c r="M405">
        <f t="shared" si="95"/>
        <v>1</v>
      </c>
      <c r="N405" t="s">
        <v>0</v>
      </c>
      <c r="O405" t="s">
        <v>463</v>
      </c>
      <c r="P405" t="s">
        <v>254</v>
      </c>
      <c r="Q405" t="s">
        <v>74</v>
      </c>
    </row>
    <row r="406" spans="1:17" x14ac:dyDescent="0.3">
      <c r="A406" t="s">
        <v>296</v>
      </c>
      <c r="B406" t="s">
        <v>802</v>
      </c>
      <c r="C406" t="s">
        <v>300</v>
      </c>
      <c r="D406" t="s">
        <v>803</v>
      </c>
      <c r="E406" t="s">
        <v>172</v>
      </c>
      <c r="F406" t="str">
        <f t="shared" si="96"/>
        <v>CS</v>
      </c>
      <c r="G406">
        <f t="shared" si="93"/>
        <v>1</v>
      </c>
      <c r="H406" t="s">
        <v>144</v>
      </c>
      <c r="I406" t="s">
        <v>144</v>
      </c>
      <c r="J406" t="str">
        <f t="shared" si="97"/>
        <v>No</v>
      </c>
      <c r="K406">
        <f t="shared" si="94"/>
        <v>0</v>
      </c>
      <c r="L406" t="str">
        <f t="shared" si="98"/>
        <v>No</v>
      </c>
      <c r="M406">
        <f t="shared" si="95"/>
        <v>0</v>
      </c>
      <c r="N406" t="s">
        <v>0</v>
      </c>
      <c r="O406" t="s">
        <v>463</v>
      </c>
      <c r="P406" t="s">
        <v>254</v>
      </c>
      <c r="Q406" t="s">
        <v>74</v>
      </c>
    </row>
    <row r="407" spans="1:17" x14ac:dyDescent="0.3">
      <c r="A407" t="s">
        <v>302</v>
      </c>
      <c r="B407" t="s">
        <v>804</v>
      </c>
      <c r="C407" t="s">
        <v>304</v>
      </c>
      <c r="D407" t="s">
        <v>805</v>
      </c>
      <c r="E407" t="s">
        <v>10</v>
      </c>
      <c r="F407" t="str">
        <f t="shared" si="96"/>
        <v>R</v>
      </c>
      <c r="G407">
        <f t="shared" si="93"/>
        <v>0</v>
      </c>
      <c r="H407" t="s">
        <v>59</v>
      </c>
      <c r="I407" t="s">
        <v>25</v>
      </c>
      <c r="J407" t="str">
        <f t="shared" si="97"/>
        <v>No</v>
      </c>
      <c r="K407">
        <f t="shared" si="94"/>
        <v>0</v>
      </c>
      <c r="L407" t="str">
        <f t="shared" si="98"/>
        <v>No</v>
      </c>
      <c r="M407">
        <f t="shared" si="95"/>
        <v>0</v>
      </c>
      <c r="N407" t="s">
        <v>0</v>
      </c>
      <c r="O407" t="s">
        <v>463</v>
      </c>
      <c r="P407" t="s">
        <v>254</v>
      </c>
      <c r="Q407" t="s">
        <v>74</v>
      </c>
    </row>
    <row r="408" spans="1:17" x14ac:dyDescent="0.3">
      <c r="A408" t="s">
        <v>302</v>
      </c>
      <c r="B408" t="s">
        <v>804</v>
      </c>
      <c r="C408" t="s">
        <v>306</v>
      </c>
      <c r="D408" t="s">
        <v>806</v>
      </c>
      <c r="E408" t="s">
        <v>172</v>
      </c>
      <c r="F408" t="str">
        <f t="shared" si="96"/>
        <v>CS</v>
      </c>
      <c r="G408">
        <f t="shared" si="93"/>
        <v>1</v>
      </c>
      <c r="H408" t="s">
        <v>25</v>
      </c>
      <c r="I408" t="s">
        <v>25</v>
      </c>
      <c r="J408" t="str">
        <f t="shared" si="97"/>
        <v>Yes</v>
      </c>
      <c r="K408">
        <f t="shared" si="94"/>
        <v>1</v>
      </c>
      <c r="L408" t="str">
        <f t="shared" si="98"/>
        <v>No</v>
      </c>
      <c r="M408">
        <f t="shared" si="95"/>
        <v>0</v>
      </c>
      <c r="N408" t="s">
        <v>0</v>
      </c>
      <c r="O408" t="s">
        <v>463</v>
      </c>
      <c r="P408" t="s">
        <v>254</v>
      </c>
      <c r="Q408" t="s">
        <v>74</v>
      </c>
    </row>
    <row r="409" spans="1:17" x14ac:dyDescent="0.3">
      <c r="A409" t="s">
        <v>308</v>
      </c>
      <c r="B409" t="s">
        <v>807</v>
      </c>
      <c r="C409" t="s">
        <v>310</v>
      </c>
      <c r="D409" t="s">
        <v>808</v>
      </c>
      <c r="E409" t="s">
        <v>10</v>
      </c>
      <c r="F409" t="str">
        <f t="shared" si="96"/>
        <v>R</v>
      </c>
      <c r="G409">
        <f t="shared" si="93"/>
        <v>0</v>
      </c>
      <c r="H409" t="s">
        <v>10</v>
      </c>
      <c r="I409" t="str">
        <f t="shared" si="99"/>
        <v>R</v>
      </c>
      <c r="J409" t="str">
        <f t="shared" si="97"/>
        <v>Yes</v>
      </c>
      <c r="K409">
        <f t="shared" si="94"/>
        <v>1</v>
      </c>
      <c r="L409" t="str">
        <f t="shared" si="98"/>
        <v>Yes</v>
      </c>
      <c r="M409">
        <f t="shared" si="95"/>
        <v>1</v>
      </c>
      <c r="N409" t="s">
        <v>0</v>
      </c>
      <c r="O409" t="s">
        <v>463</v>
      </c>
      <c r="P409" t="s">
        <v>254</v>
      </c>
      <c r="Q409" t="s">
        <v>74</v>
      </c>
    </row>
    <row r="410" spans="1:17" x14ac:dyDescent="0.3">
      <c r="A410" t="s">
        <v>308</v>
      </c>
      <c r="B410" t="s">
        <v>807</v>
      </c>
      <c r="C410" t="s">
        <v>312</v>
      </c>
      <c r="D410" t="s">
        <v>809</v>
      </c>
      <c r="E410" t="s">
        <v>10</v>
      </c>
      <c r="F410" t="str">
        <f t="shared" si="96"/>
        <v>R</v>
      </c>
      <c r="G410">
        <f t="shared" si="93"/>
        <v>0</v>
      </c>
      <c r="H410" t="s">
        <v>10</v>
      </c>
      <c r="I410" t="str">
        <f t="shared" si="99"/>
        <v>R</v>
      </c>
      <c r="J410" t="str">
        <f t="shared" si="97"/>
        <v>Yes</v>
      </c>
      <c r="K410">
        <f t="shared" si="94"/>
        <v>1</v>
      </c>
      <c r="L410" t="str">
        <f t="shared" si="98"/>
        <v>Yes</v>
      </c>
      <c r="M410">
        <f t="shared" si="95"/>
        <v>1</v>
      </c>
      <c r="N410" t="s">
        <v>0</v>
      </c>
      <c r="O410" t="s">
        <v>463</v>
      </c>
      <c r="P410" t="s">
        <v>254</v>
      </c>
      <c r="Q410" t="s">
        <v>74</v>
      </c>
    </row>
    <row r="411" spans="1:17" x14ac:dyDescent="0.3">
      <c r="A411" t="s">
        <v>314</v>
      </c>
      <c r="B411" t="s">
        <v>810</v>
      </c>
      <c r="C411" t="s">
        <v>316</v>
      </c>
      <c r="D411" t="s">
        <v>811</v>
      </c>
      <c r="E411" t="s">
        <v>10</v>
      </c>
      <c r="F411" t="str">
        <f t="shared" si="96"/>
        <v>R</v>
      </c>
      <c r="G411">
        <f t="shared" si="93"/>
        <v>0</v>
      </c>
      <c r="H411" t="s">
        <v>10</v>
      </c>
      <c r="I411" t="str">
        <f t="shared" si="99"/>
        <v>R</v>
      </c>
      <c r="J411" t="str">
        <f t="shared" si="97"/>
        <v>Yes</v>
      </c>
      <c r="K411">
        <f t="shared" si="94"/>
        <v>1</v>
      </c>
      <c r="L411" t="str">
        <f t="shared" si="98"/>
        <v>Yes</v>
      </c>
      <c r="M411">
        <f t="shared" si="95"/>
        <v>1</v>
      </c>
      <c r="N411" t="s">
        <v>0</v>
      </c>
      <c r="O411" t="s">
        <v>463</v>
      </c>
      <c r="P411" t="s">
        <v>254</v>
      </c>
      <c r="Q411" t="s">
        <v>74</v>
      </c>
    </row>
    <row r="412" spans="1:17" x14ac:dyDescent="0.3">
      <c r="A412" t="s">
        <v>318</v>
      </c>
      <c r="B412" t="s">
        <v>812</v>
      </c>
      <c r="C412" t="s">
        <v>320</v>
      </c>
      <c r="D412" t="s">
        <v>813</v>
      </c>
      <c r="E412" t="s">
        <v>10</v>
      </c>
      <c r="F412" t="str">
        <f t="shared" si="96"/>
        <v>R</v>
      </c>
      <c r="G412">
        <f t="shared" si="93"/>
        <v>0</v>
      </c>
      <c r="H412" t="s">
        <v>10</v>
      </c>
      <c r="I412" t="str">
        <f t="shared" si="99"/>
        <v>R</v>
      </c>
      <c r="J412" t="str">
        <f t="shared" si="97"/>
        <v>Yes</v>
      </c>
      <c r="K412">
        <f t="shared" si="94"/>
        <v>1</v>
      </c>
      <c r="L412" t="str">
        <f t="shared" si="98"/>
        <v>Yes</v>
      </c>
      <c r="M412">
        <f t="shared" si="95"/>
        <v>1</v>
      </c>
      <c r="N412" t="s">
        <v>0</v>
      </c>
      <c r="O412" t="s">
        <v>463</v>
      </c>
      <c r="P412" t="s">
        <v>254</v>
      </c>
      <c r="Q412" t="s">
        <v>74</v>
      </c>
    </row>
    <row r="413" spans="1:17" x14ac:dyDescent="0.3">
      <c r="A413" t="s">
        <v>255</v>
      </c>
      <c r="B413" t="s">
        <v>814</v>
      </c>
      <c r="C413" t="s">
        <v>257</v>
      </c>
      <c r="D413" t="s">
        <v>815</v>
      </c>
      <c r="E413" t="s">
        <v>59</v>
      </c>
      <c r="F413" t="s">
        <v>25</v>
      </c>
      <c r="G413">
        <f t="shared" si="93"/>
        <v>1</v>
      </c>
      <c r="H413" t="s">
        <v>59</v>
      </c>
      <c r="I413" t="s">
        <v>25</v>
      </c>
      <c r="J413" t="str">
        <f>IF(F413=I413, "Yes", "No")</f>
        <v>Yes</v>
      </c>
      <c r="K413">
        <f t="shared" si="94"/>
        <v>1</v>
      </c>
      <c r="L413" t="str">
        <f>IF(E413=H413, "Yes", "No")</f>
        <v>Yes</v>
      </c>
      <c r="M413">
        <f t="shared" si="95"/>
        <v>1</v>
      </c>
      <c r="N413" t="s">
        <v>0</v>
      </c>
      <c r="O413" t="s">
        <v>463</v>
      </c>
      <c r="P413" t="s">
        <v>254</v>
      </c>
      <c r="Q413" t="s">
        <v>95</v>
      </c>
    </row>
    <row r="414" spans="1:17" x14ac:dyDescent="0.3">
      <c r="A414" t="s">
        <v>255</v>
      </c>
      <c r="B414" t="s">
        <v>814</v>
      </c>
      <c r="C414" t="s">
        <v>259</v>
      </c>
      <c r="D414" t="s">
        <v>816</v>
      </c>
      <c r="E414" t="s">
        <v>59</v>
      </c>
      <c r="F414" t="s">
        <v>25</v>
      </c>
      <c r="G414">
        <f t="shared" si="93"/>
        <v>1</v>
      </c>
      <c r="H414" t="s">
        <v>59</v>
      </c>
      <c r="I414" t="s">
        <v>25</v>
      </c>
      <c r="J414" t="str">
        <f t="shared" ref="J414:J436" si="100">IF(F414=I414, "Yes", "No")</f>
        <v>Yes</v>
      </c>
      <c r="K414">
        <f t="shared" si="94"/>
        <v>1</v>
      </c>
      <c r="L414" t="str">
        <f t="shared" ref="L414:L436" si="101">IF(E414=H414, "Yes", "No")</f>
        <v>Yes</v>
      </c>
      <c r="M414">
        <f t="shared" si="95"/>
        <v>1</v>
      </c>
      <c r="N414" t="s">
        <v>0</v>
      </c>
      <c r="O414" t="s">
        <v>463</v>
      </c>
      <c r="P414" t="s">
        <v>254</v>
      </c>
      <c r="Q414" t="s">
        <v>95</v>
      </c>
    </row>
    <row r="415" spans="1:17" x14ac:dyDescent="0.3">
      <c r="A415" t="s">
        <v>255</v>
      </c>
      <c r="B415" t="s">
        <v>814</v>
      </c>
      <c r="C415" t="s">
        <v>261</v>
      </c>
      <c r="D415" t="s">
        <v>817</v>
      </c>
      <c r="E415" t="s">
        <v>59</v>
      </c>
      <c r="F415" t="s">
        <v>25</v>
      </c>
      <c r="G415">
        <f t="shared" si="93"/>
        <v>1</v>
      </c>
      <c r="H415" t="s">
        <v>10</v>
      </c>
      <c r="I415" t="str">
        <f t="shared" ref="I415:I436" si="102">IF(H415="R", "R")</f>
        <v>R</v>
      </c>
      <c r="J415" t="str">
        <f t="shared" si="100"/>
        <v>No</v>
      </c>
      <c r="K415">
        <f t="shared" si="94"/>
        <v>0</v>
      </c>
      <c r="L415" t="str">
        <f t="shared" si="101"/>
        <v>No</v>
      </c>
      <c r="M415">
        <f t="shared" si="95"/>
        <v>0</v>
      </c>
      <c r="N415" t="s">
        <v>0</v>
      </c>
      <c r="O415" t="s">
        <v>463</v>
      </c>
      <c r="P415" t="s">
        <v>254</v>
      </c>
      <c r="Q415" t="s">
        <v>95</v>
      </c>
    </row>
    <row r="416" spans="1:17" x14ac:dyDescent="0.3">
      <c r="A416" t="s">
        <v>255</v>
      </c>
      <c r="B416" t="s">
        <v>814</v>
      </c>
      <c r="C416" t="s">
        <v>263</v>
      </c>
      <c r="D416" t="s">
        <v>818</v>
      </c>
      <c r="E416" t="s">
        <v>10</v>
      </c>
      <c r="F416" t="str">
        <f t="shared" ref="F416:F435" si="103">IF(E416="R", "R")</f>
        <v>R</v>
      </c>
      <c r="G416">
        <f t="shared" si="93"/>
        <v>0</v>
      </c>
      <c r="H416" t="s">
        <v>10</v>
      </c>
      <c r="I416" t="str">
        <f t="shared" si="102"/>
        <v>R</v>
      </c>
      <c r="J416" t="str">
        <f t="shared" si="100"/>
        <v>Yes</v>
      </c>
      <c r="K416">
        <f t="shared" si="94"/>
        <v>1</v>
      </c>
      <c r="L416" t="str">
        <f t="shared" si="101"/>
        <v>Yes</v>
      </c>
      <c r="M416">
        <f t="shared" si="95"/>
        <v>1</v>
      </c>
      <c r="N416" t="s">
        <v>0</v>
      </c>
      <c r="O416" t="s">
        <v>463</v>
      </c>
      <c r="P416" t="s">
        <v>254</v>
      </c>
      <c r="Q416" t="s">
        <v>95</v>
      </c>
    </row>
    <row r="417" spans="1:17" x14ac:dyDescent="0.3">
      <c r="A417" t="s">
        <v>265</v>
      </c>
      <c r="B417" t="s">
        <v>819</v>
      </c>
      <c r="C417" t="s">
        <v>267</v>
      </c>
      <c r="D417" t="s">
        <v>789</v>
      </c>
      <c r="E417" t="s">
        <v>10</v>
      </c>
      <c r="F417" t="str">
        <f t="shared" si="103"/>
        <v>R</v>
      </c>
      <c r="G417">
        <f t="shared" si="93"/>
        <v>0</v>
      </c>
      <c r="H417" t="s">
        <v>10</v>
      </c>
      <c r="I417" t="str">
        <f t="shared" si="102"/>
        <v>R</v>
      </c>
      <c r="J417" t="str">
        <f t="shared" si="100"/>
        <v>Yes</v>
      </c>
      <c r="K417">
        <f t="shared" si="94"/>
        <v>1</v>
      </c>
      <c r="L417" t="str">
        <f t="shared" si="101"/>
        <v>Yes</v>
      </c>
      <c r="M417">
        <f t="shared" si="95"/>
        <v>1</v>
      </c>
      <c r="N417" t="s">
        <v>0</v>
      </c>
      <c r="O417" t="s">
        <v>463</v>
      </c>
      <c r="P417" t="s">
        <v>254</v>
      </c>
      <c r="Q417" t="s">
        <v>95</v>
      </c>
    </row>
    <row r="418" spans="1:17" x14ac:dyDescent="0.3">
      <c r="A418" t="s">
        <v>265</v>
      </c>
      <c r="B418" t="s">
        <v>819</v>
      </c>
      <c r="C418" t="s">
        <v>269</v>
      </c>
      <c r="D418" t="s">
        <v>820</v>
      </c>
      <c r="E418" t="s">
        <v>59</v>
      </c>
      <c r="F418" t="s">
        <v>25</v>
      </c>
      <c r="G418">
        <f t="shared" si="93"/>
        <v>1</v>
      </c>
      <c r="H418" t="s">
        <v>10</v>
      </c>
      <c r="I418" t="str">
        <f t="shared" si="102"/>
        <v>R</v>
      </c>
      <c r="J418" t="str">
        <f t="shared" si="100"/>
        <v>No</v>
      </c>
      <c r="K418">
        <f t="shared" si="94"/>
        <v>0</v>
      </c>
      <c r="L418" t="str">
        <f t="shared" si="101"/>
        <v>No</v>
      </c>
      <c r="M418">
        <f t="shared" si="95"/>
        <v>0</v>
      </c>
      <c r="N418" t="s">
        <v>0</v>
      </c>
      <c r="O418" t="s">
        <v>463</v>
      </c>
      <c r="P418" t="s">
        <v>254</v>
      </c>
      <c r="Q418" t="s">
        <v>95</v>
      </c>
    </row>
    <row r="419" spans="1:17" x14ac:dyDescent="0.3">
      <c r="A419" t="s">
        <v>265</v>
      </c>
      <c r="B419" t="s">
        <v>819</v>
      </c>
      <c r="C419" t="s">
        <v>271</v>
      </c>
      <c r="D419" t="s">
        <v>821</v>
      </c>
      <c r="E419" t="s">
        <v>10</v>
      </c>
      <c r="F419" t="str">
        <f t="shared" si="103"/>
        <v>R</v>
      </c>
      <c r="G419">
        <f t="shared" si="93"/>
        <v>0</v>
      </c>
      <c r="H419" t="s">
        <v>59</v>
      </c>
      <c r="I419" t="s">
        <v>25</v>
      </c>
      <c r="J419" t="str">
        <f t="shared" si="100"/>
        <v>No</v>
      </c>
      <c r="K419">
        <f t="shared" si="94"/>
        <v>0</v>
      </c>
      <c r="L419" t="str">
        <f t="shared" si="101"/>
        <v>No</v>
      </c>
      <c r="M419">
        <f t="shared" si="95"/>
        <v>0</v>
      </c>
      <c r="N419" t="s">
        <v>0</v>
      </c>
      <c r="O419" t="s">
        <v>463</v>
      </c>
      <c r="P419" t="s">
        <v>254</v>
      </c>
      <c r="Q419" t="s">
        <v>95</v>
      </c>
    </row>
    <row r="420" spans="1:17" x14ac:dyDescent="0.3">
      <c r="A420" t="s">
        <v>265</v>
      </c>
      <c r="B420" t="s">
        <v>819</v>
      </c>
      <c r="C420" t="s">
        <v>273</v>
      </c>
      <c r="D420" t="s">
        <v>822</v>
      </c>
      <c r="E420" t="s">
        <v>59</v>
      </c>
      <c r="F420" t="s">
        <v>25</v>
      </c>
      <c r="G420">
        <f t="shared" si="93"/>
        <v>1</v>
      </c>
      <c r="H420" t="s">
        <v>59</v>
      </c>
      <c r="I420" t="s">
        <v>25</v>
      </c>
      <c r="J420" t="str">
        <f t="shared" si="100"/>
        <v>Yes</v>
      </c>
      <c r="K420">
        <f t="shared" si="94"/>
        <v>1</v>
      </c>
      <c r="L420" t="str">
        <f t="shared" si="101"/>
        <v>Yes</v>
      </c>
      <c r="M420">
        <f t="shared" si="95"/>
        <v>1</v>
      </c>
      <c r="N420" t="s">
        <v>0</v>
      </c>
      <c r="O420" t="s">
        <v>463</v>
      </c>
      <c r="P420" t="s">
        <v>254</v>
      </c>
      <c r="Q420" t="s">
        <v>95</v>
      </c>
    </row>
    <row r="421" spans="1:17" x14ac:dyDescent="0.3">
      <c r="A421" t="s">
        <v>275</v>
      </c>
      <c r="B421" t="s">
        <v>823</v>
      </c>
      <c r="C421" t="s">
        <v>277</v>
      </c>
      <c r="D421" t="s">
        <v>761</v>
      </c>
      <c r="E421" t="s">
        <v>10</v>
      </c>
      <c r="F421" t="str">
        <f t="shared" si="103"/>
        <v>R</v>
      </c>
      <c r="G421">
        <f t="shared" si="93"/>
        <v>0</v>
      </c>
      <c r="H421" t="s">
        <v>10</v>
      </c>
      <c r="I421" t="str">
        <f t="shared" si="102"/>
        <v>R</v>
      </c>
      <c r="J421" t="str">
        <f t="shared" si="100"/>
        <v>Yes</v>
      </c>
      <c r="K421">
        <f t="shared" si="94"/>
        <v>1</v>
      </c>
      <c r="L421" t="str">
        <f t="shared" si="101"/>
        <v>Yes</v>
      </c>
      <c r="M421">
        <f t="shared" si="95"/>
        <v>1</v>
      </c>
      <c r="N421" t="s">
        <v>0</v>
      </c>
      <c r="O421" t="s">
        <v>463</v>
      </c>
      <c r="P421" t="s">
        <v>254</v>
      </c>
      <c r="Q421" t="s">
        <v>95</v>
      </c>
    </row>
    <row r="422" spans="1:17" x14ac:dyDescent="0.3">
      <c r="A422" t="s">
        <v>275</v>
      </c>
      <c r="B422" t="s">
        <v>823</v>
      </c>
      <c r="C422" t="s">
        <v>279</v>
      </c>
      <c r="E422" t="s">
        <v>144</v>
      </c>
      <c r="F422" t="s">
        <v>144</v>
      </c>
      <c r="G422">
        <v>2</v>
      </c>
      <c r="H422" t="s">
        <v>59</v>
      </c>
      <c r="I422" t="s">
        <v>25</v>
      </c>
      <c r="J422" t="str">
        <f t="shared" si="100"/>
        <v>No</v>
      </c>
      <c r="K422">
        <f t="shared" si="94"/>
        <v>0</v>
      </c>
      <c r="L422" t="str">
        <f t="shared" si="101"/>
        <v>No</v>
      </c>
      <c r="M422">
        <f t="shared" si="95"/>
        <v>0</v>
      </c>
      <c r="N422" t="s">
        <v>0</v>
      </c>
      <c r="O422" t="s">
        <v>463</v>
      </c>
      <c r="P422" t="s">
        <v>254</v>
      </c>
      <c r="Q422" t="s">
        <v>95</v>
      </c>
    </row>
    <row r="423" spans="1:17" x14ac:dyDescent="0.3">
      <c r="A423" t="s">
        <v>275</v>
      </c>
      <c r="B423" t="s">
        <v>823</v>
      </c>
      <c r="C423" t="s">
        <v>280</v>
      </c>
      <c r="D423" t="s">
        <v>824</v>
      </c>
      <c r="E423" t="s">
        <v>10</v>
      </c>
      <c r="F423" t="str">
        <f t="shared" si="103"/>
        <v>R</v>
      </c>
      <c r="G423">
        <f t="shared" si="93"/>
        <v>0</v>
      </c>
      <c r="H423" t="s">
        <v>59</v>
      </c>
      <c r="I423" t="s">
        <v>25</v>
      </c>
      <c r="J423" t="str">
        <f t="shared" si="100"/>
        <v>No</v>
      </c>
      <c r="K423">
        <f t="shared" si="94"/>
        <v>0</v>
      </c>
      <c r="L423" t="str">
        <f t="shared" si="101"/>
        <v>No</v>
      </c>
      <c r="M423">
        <f t="shared" si="95"/>
        <v>0</v>
      </c>
      <c r="N423" t="s">
        <v>0</v>
      </c>
      <c r="O423" t="s">
        <v>463</v>
      </c>
      <c r="P423" t="s">
        <v>254</v>
      </c>
      <c r="Q423" t="s">
        <v>95</v>
      </c>
    </row>
    <row r="424" spans="1:17" x14ac:dyDescent="0.3">
      <c r="A424" t="s">
        <v>275</v>
      </c>
      <c r="B424" t="s">
        <v>823</v>
      </c>
      <c r="C424" t="s">
        <v>282</v>
      </c>
      <c r="D424" t="s">
        <v>825</v>
      </c>
      <c r="E424" t="s">
        <v>172</v>
      </c>
      <c r="F424" t="s">
        <v>25</v>
      </c>
      <c r="G424">
        <f t="shared" si="93"/>
        <v>1</v>
      </c>
      <c r="H424" t="s">
        <v>172</v>
      </c>
      <c r="I424" t="s">
        <v>25</v>
      </c>
      <c r="J424" t="str">
        <f t="shared" si="100"/>
        <v>Yes</v>
      </c>
      <c r="K424">
        <f t="shared" si="94"/>
        <v>1</v>
      </c>
      <c r="L424" t="str">
        <f t="shared" si="101"/>
        <v>Yes</v>
      </c>
      <c r="M424">
        <f t="shared" si="95"/>
        <v>1</v>
      </c>
      <c r="N424" t="s">
        <v>0</v>
      </c>
      <c r="O424" t="s">
        <v>463</v>
      </c>
      <c r="P424" t="s">
        <v>254</v>
      </c>
      <c r="Q424" t="s">
        <v>95</v>
      </c>
    </row>
    <row r="425" spans="1:17" x14ac:dyDescent="0.3">
      <c r="A425" t="s">
        <v>284</v>
      </c>
      <c r="B425" t="s">
        <v>826</v>
      </c>
      <c r="C425" t="s">
        <v>764</v>
      </c>
      <c r="D425" t="s">
        <v>827</v>
      </c>
      <c r="E425" t="s">
        <v>59</v>
      </c>
      <c r="F425" t="s">
        <v>25</v>
      </c>
      <c r="G425">
        <f t="shared" si="93"/>
        <v>1</v>
      </c>
      <c r="H425" t="s">
        <v>10</v>
      </c>
      <c r="I425" t="str">
        <f t="shared" si="102"/>
        <v>R</v>
      </c>
      <c r="J425" t="str">
        <f t="shared" si="100"/>
        <v>No</v>
      </c>
      <c r="K425">
        <f t="shared" si="94"/>
        <v>0</v>
      </c>
      <c r="L425" t="str">
        <f t="shared" si="101"/>
        <v>No</v>
      </c>
      <c r="M425">
        <f t="shared" si="95"/>
        <v>0</v>
      </c>
      <c r="N425" t="s">
        <v>0</v>
      </c>
      <c r="O425" t="s">
        <v>463</v>
      </c>
      <c r="P425" t="s">
        <v>254</v>
      </c>
      <c r="Q425" t="s">
        <v>95</v>
      </c>
    </row>
    <row r="426" spans="1:17" x14ac:dyDescent="0.3">
      <c r="A426" t="s">
        <v>284</v>
      </c>
      <c r="B426" t="s">
        <v>826</v>
      </c>
      <c r="C426" t="s">
        <v>288</v>
      </c>
      <c r="D426" t="s">
        <v>766</v>
      </c>
      <c r="E426" t="s">
        <v>59</v>
      </c>
      <c r="F426" t="s">
        <v>25</v>
      </c>
      <c r="G426">
        <f t="shared" si="93"/>
        <v>1</v>
      </c>
      <c r="H426" t="s">
        <v>10</v>
      </c>
      <c r="I426" t="str">
        <f t="shared" si="102"/>
        <v>R</v>
      </c>
      <c r="J426" t="str">
        <f t="shared" si="100"/>
        <v>No</v>
      </c>
      <c r="K426">
        <f t="shared" si="94"/>
        <v>0</v>
      </c>
      <c r="L426" t="str">
        <f t="shared" si="101"/>
        <v>No</v>
      </c>
      <c r="M426">
        <f t="shared" si="95"/>
        <v>0</v>
      </c>
      <c r="N426" t="s">
        <v>0</v>
      </c>
      <c r="O426" t="s">
        <v>463</v>
      </c>
      <c r="P426" t="s">
        <v>254</v>
      </c>
      <c r="Q426" t="s">
        <v>95</v>
      </c>
    </row>
    <row r="427" spans="1:17" x14ac:dyDescent="0.3">
      <c r="A427" t="s">
        <v>290</v>
      </c>
      <c r="B427" t="s">
        <v>828</v>
      </c>
      <c r="C427" t="s">
        <v>292</v>
      </c>
      <c r="D427" t="s">
        <v>829</v>
      </c>
      <c r="E427" t="s">
        <v>59</v>
      </c>
      <c r="F427" t="s">
        <v>25</v>
      </c>
      <c r="G427">
        <f t="shared" si="93"/>
        <v>1</v>
      </c>
      <c r="H427" t="s">
        <v>10</v>
      </c>
      <c r="I427" t="str">
        <f t="shared" si="102"/>
        <v>R</v>
      </c>
      <c r="J427" t="str">
        <f t="shared" si="100"/>
        <v>No</v>
      </c>
      <c r="K427">
        <f t="shared" si="94"/>
        <v>0</v>
      </c>
      <c r="L427" t="str">
        <f t="shared" si="101"/>
        <v>No</v>
      </c>
      <c r="M427">
        <f t="shared" si="95"/>
        <v>0</v>
      </c>
      <c r="N427" t="s">
        <v>0</v>
      </c>
      <c r="O427" t="s">
        <v>463</v>
      </c>
      <c r="P427" t="s">
        <v>254</v>
      </c>
      <c r="Q427" t="s">
        <v>95</v>
      </c>
    </row>
    <row r="428" spans="1:17" x14ac:dyDescent="0.3">
      <c r="A428" t="s">
        <v>290</v>
      </c>
      <c r="B428" t="s">
        <v>828</v>
      </c>
      <c r="C428" t="s">
        <v>294</v>
      </c>
      <c r="D428" t="s">
        <v>830</v>
      </c>
      <c r="E428" t="s">
        <v>172</v>
      </c>
      <c r="F428" t="s">
        <v>25</v>
      </c>
      <c r="G428">
        <f t="shared" si="93"/>
        <v>1</v>
      </c>
      <c r="H428" t="s">
        <v>10</v>
      </c>
      <c r="I428" t="str">
        <f t="shared" si="102"/>
        <v>R</v>
      </c>
      <c r="J428" t="str">
        <f t="shared" si="100"/>
        <v>No</v>
      </c>
      <c r="K428">
        <f t="shared" si="94"/>
        <v>0</v>
      </c>
      <c r="L428" t="str">
        <f t="shared" si="101"/>
        <v>No</v>
      </c>
      <c r="M428">
        <f t="shared" si="95"/>
        <v>0</v>
      </c>
      <c r="N428" t="s">
        <v>0</v>
      </c>
      <c r="O428" t="s">
        <v>463</v>
      </c>
      <c r="P428" t="s">
        <v>254</v>
      </c>
      <c r="Q428" t="s">
        <v>95</v>
      </c>
    </row>
    <row r="429" spans="1:17" x14ac:dyDescent="0.3">
      <c r="A429" t="s">
        <v>296</v>
      </c>
      <c r="B429" t="s">
        <v>831</v>
      </c>
      <c r="C429" t="s">
        <v>298</v>
      </c>
      <c r="D429" t="s">
        <v>771</v>
      </c>
      <c r="E429" t="s">
        <v>10</v>
      </c>
      <c r="F429" t="str">
        <f t="shared" si="103"/>
        <v>R</v>
      </c>
      <c r="G429">
        <f t="shared" si="93"/>
        <v>0</v>
      </c>
      <c r="H429" t="s">
        <v>10</v>
      </c>
      <c r="I429" t="str">
        <f t="shared" si="102"/>
        <v>R</v>
      </c>
      <c r="J429" t="str">
        <f t="shared" si="100"/>
        <v>Yes</v>
      </c>
      <c r="K429">
        <f t="shared" si="94"/>
        <v>1</v>
      </c>
      <c r="L429" t="str">
        <f t="shared" si="101"/>
        <v>Yes</v>
      </c>
      <c r="M429">
        <f t="shared" si="95"/>
        <v>1</v>
      </c>
      <c r="N429" t="s">
        <v>0</v>
      </c>
      <c r="O429" t="s">
        <v>463</v>
      </c>
      <c r="P429" t="s">
        <v>254</v>
      </c>
      <c r="Q429" t="s">
        <v>95</v>
      </c>
    </row>
    <row r="430" spans="1:17" x14ac:dyDescent="0.3">
      <c r="A430" t="s">
        <v>296</v>
      </c>
      <c r="B430" t="s">
        <v>831</v>
      </c>
      <c r="C430" t="s">
        <v>300</v>
      </c>
      <c r="D430" t="s">
        <v>832</v>
      </c>
      <c r="E430" t="s">
        <v>10</v>
      </c>
      <c r="F430" t="str">
        <f t="shared" si="103"/>
        <v>R</v>
      </c>
      <c r="G430">
        <f t="shared" si="93"/>
        <v>0</v>
      </c>
      <c r="H430" t="s">
        <v>144</v>
      </c>
      <c r="I430" t="s">
        <v>144</v>
      </c>
      <c r="J430" t="str">
        <f t="shared" si="100"/>
        <v>No</v>
      </c>
      <c r="K430">
        <f t="shared" si="94"/>
        <v>0</v>
      </c>
      <c r="L430" t="str">
        <f t="shared" si="101"/>
        <v>No</v>
      </c>
      <c r="M430">
        <f t="shared" si="95"/>
        <v>0</v>
      </c>
      <c r="N430" t="s">
        <v>0</v>
      </c>
      <c r="O430" t="s">
        <v>463</v>
      </c>
      <c r="P430" t="s">
        <v>254</v>
      </c>
      <c r="Q430" t="s">
        <v>95</v>
      </c>
    </row>
    <row r="431" spans="1:17" x14ac:dyDescent="0.3">
      <c r="A431" t="s">
        <v>302</v>
      </c>
      <c r="B431" t="s">
        <v>833</v>
      </c>
      <c r="C431" t="s">
        <v>304</v>
      </c>
      <c r="D431" t="s">
        <v>834</v>
      </c>
      <c r="E431" t="s">
        <v>172</v>
      </c>
      <c r="F431" t="s">
        <v>25</v>
      </c>
      <c r="G431">
        <f t="shared" si="93"/>
        <v>1</v>
      </c>
      <c r="H431" t="s">
        <v>59</v>
      </c>
      <c r="I431" t="s">
        <v>25</v>
      </c>
      <c r="J431" t="str">
        <f t="shared" si="100"/>
        <v>Yes</v>
      </c>
      <c r="K431">
        <f t="shared" si="94"/>
        <v>1</v>
      </c>
      <c r="L431" t="str">
        <f t="shared" si="101"/>
        <v>No</v>
      </c>
      <c r="M431">
        <f t="shared" si="95"/>
        <v>0</v>
      </c>
      <c r="N431" t="s">
        <v>0</v>
      </c>
      <c r="O431" t="s">
        <v>463</v>
      </c>
      <c r="P431" t="s">
        <v>254</v>
      </c>
      <c r="Q431" t="s">
        <v>95</v>
      </c>
    </row>
    <row r="432" spans="1:17" x14ac:dyDescent="0.3">
      <c r="A432" t="s">
        <v>302</v>
      </c>
      <c r="B432" t="s">
        <v>833</v>
      </c>
      <c r="C432" t="s">
        <v>306</v>
      </c>
      <c r="D432" t="s">
        <v>835</v>
      </c>
      <c r="E432" t="s">
        <v>10</v>
      </c>
      <c r="F432" t="str">
        <f t="shared" si="103"/>
        <v>R</v>
      </c>
      <c r="G432">
        <f t="shared" si="93"/>
        <v>0</v>
      </c>
      <c r="H432" t="s">
        <v>10</v>
      </c>
      <c r="I432" t="str">
        <f t="shared" si="102"/>
        <v>R</v>
      </c>
      <c r="J432" t="str">
        <f t="shared" si="100"/>
        <v>Yes</v>
      </c>
      <c r="K432">
        <f t="shared" si="94"/>
        <v>1</v>
      </c>
      <c r="L432" t="str">
        <f t="shared" si="101"/>
        <v>Yes</v>
      </c>
      <c r="M432">
        <f t="shared" si="95"/>
        <v>1</v>
      </c>
      <c r="N432" t="s">
        <v>0</v>
      </c>
      <c r="O432" t="s">
        <v>463</v>
      </c>
      <c r="P432" t="s">
        <v>254</v>
      </c>
      <c r="Q432" t="s">
        <v>95</v>
      </c>
    </row>
    <row r="433" spans="1:17" x14ac:dyDescent="0.3">
      <c r="A433" t="s">
        <v>308</v>
      </c>
      <c r="B433" t="s">
        <v>836</v>
      </c>
      <c r="C433" t="s">
        <v>310</v>
      </c>
      <c r="D433" t="s">
        <v>837</v>
      </c>
      <c r="E433" t="s">
        <v>10</v>
      </c>
      <c r="F433" t="str">
        <f t="shared" si="103"/>
        <v>R</v>
      </c>
      <c r="G433">
        <f t="shared" si="93"/>
        <v>0</v>
      </c>
      <c r="H433" t="s">
        <v>10</v>
      </c>
      <c r="I433" t="str">
        <f t="shared" si="102"/>
        <v>R</v>
      </c>
      <c r="J433" t="str">
        <f t="shared" si="100"/>
        <v>Yes</v>
      </c>
      <c r="K433">
        <f t="shared" si="94"/>
        <v>1</v>
      </c>
      <c r="L433" t="str">
        <f t="shared" si="101"/>
        <v>Yes</v>
      </c>
      <c r="M433">
        <f t="shared" si="95"/>
        <v>1</v>
      </c>
      <c r="N433" t="s">
        <v>0</v>
      </c>
      <c r="O433" t="s">
        <v>463</v>
      </c>
      <c r="P433" t="s">
        <v>254</v>
      </c>
      <c r="Q433" t="s">
        <v>95</v>
      </c>
    </row>
    <row r="434" spans="1:17" x14ac:dyDescent="0.3">
      <c r="A434" t="s">
        <v>308</v>
      </c>
      <c r="B434" t="s">
        <v>836</v>
      </c>
      <c r="C434" t="s">
        <v>312</v>
      </c>
      <c r="D434" t="s">
        <v>838</v>
      </c>
      <c r="E434" t="s">
        <v>10</v>
      </c>
      <c r="F434" t="str">
        <f t="shared" si="103"/>
        <v>R</v>
      </c>
      <c r="G434">
        <f t="shared" si="93"/>
        <v>0</v>
      </c>
      <c r="H434" t="s">
        <v>10</v>
      </c>
      <c r="I434" t="str">
        <f t="shared" si="102"/>
        <v>R</v>
      </c>
      <c r="J434" t="str">
        <f t="shared" si="100"/>
        <v>Yes</v>
      </c>
      <c r="K434">
        <f t="shared" si="94"/>
        <v>1</v>
      </c>
      <c r="L434" t="str">
        <f t="shared" si="101"/>
        <v>Yes</v>
      </c>
      <c r="M434">
        <f t="shared" si="95"/>
        <v>1</v>
      </c>
      <c r="N434" t="s">
        <v>0</v>
      </c>
      <c r="O434" t="s">
        <v>463</v>
      </c>
      <c r="P434" t="s">
        <v>254</v>
      </c>
      <c r="Q434" t="s">
        <v>95</v>
      </c>
    </row>
    <row r="435" spans="1:17" x14ac:dyDescent="0.3">
      <c r="A435" t="s">
        <v>314</v>
      </c>
      <c r="B435" t="s">
        <v>839</v>
      </c>
      <c r="C435" t="s">
        <v>316</v>
      </c>
      <c r="D435" t="s">
        <v>840</v>
      </c>
      <c r="E435" t="s">
        <v>10</v>
      </c>
      <c r="F435" t="str">
        <f t="shared" si="103"/>
        <v>R</v>
      </c>
      <c r="G435">
        <f t="shared" si="93"/>
        <v>0</v>
      </c>
      <c r="H435" t="s">
        <v>10</v>
      </c>
      <c r="I435" t="str">
        <f t="shared" si="102"/>
        <v>R</v>
      </c>
      <c r="J435" t="str">
        <f t="shared" si="100"/>
        <v>Yes</v>
      </c>
      <c r="K435">
        <f t="shared" si="94"/>
        <v>1</v>
      </c>
      <c r="L435" t="str">
        <f t="shared" si="101"/>
        <v>Yes</v>
      </c>
      <c r="M435">
        <f t="shared" si="95"/>
        <v>1</v>
      </c>
      <c r="N435" t="s">
        <v>0</v>
      </c>
      <c r="O435" t="s">
        <v>463</v>
      </c>
      <c r="P435" t="s">
        <v>254</v>
      </c>
      <c r="Q435" t="s">
        <v>95</v>
      </c>
    </row>
    <row r="436" spans="1:17" x14ac:dyDescent="0.3">
      <c r="A436" t="s">
        <v>318</v>
      </c>
      <c r="B436" t="s">
        <v>841</v>
      </c>
      <c r="C436" t="s">
        <v>320</v>
      </c>
      <c r="D436" t="s">
        <v>842</v>
      </c>
      <c r="E436" t="s">
        <v>59</v>
      </c>
      <c r="F436" t="s">
        <v>25</v>
      </c>
      <c r="G436">
        <f t="shared" si="93"/>
        <v>1</v>
      </c>
      <c r="H436" t="s">
        <v>10</v>
      </c>
      <c r="I436" t="str">
        <f t="shared" si="102"/>
        <v>R</v>
      </c>
      <c r="J436" t="str">
        <f t="shared" si="100"/>
        <v>No</v>
      </c>
      <c r="K436">
        <f t="shared" si="94"/>
        <v>0</v>
      </c>
      <c r="L436" t="str">
        <f t="shared" si="101"/>
        <v>No</v>
      </c>
      <c r="M436">
        <f t="shared" si="95"/>
        <v>0</v>
      </c>
      <c r="N436" t="s">
        <v>0</v>
      </c>
      <c r="O436" t="s">
        <v>463</v>
      </c>
      <c r="P436" t="s">
        <v>254</v>
      </c>
      <c r="Q436" t="s">
        <v>95</v>
      </c>
    </row>
    <row r="437" spans="1:17" x14ac:dyDescent="0.3">
      <c r="A437" t="s">
        <v>116</v>
      </c>
      <c r="B437" t="s">
        <v>843</v>
      </c>
      <c r="C437" t="s">
        <v>118</v>
      </c>
      <c r="D437" t="s">
        <v>844</v>
      </c>
      <c r="E437" t="s">
        <v>172</v>
      </c>
      <c r="F437" t="str">
        <f>IF(E437="R", "R", "CS")</f>
        <v>CS</v>
      </c>
      <c r="G437">
        <f t="shared" si="93"/>
        <v>1</v>
      </c>
      <c r="H437" t="s">
        <v>59</v>
      </c>
      <c r="I437" t="s">
        <v>25</v>
      </c>
      <c r="J437" t="str">
        <f>IF(F437=I437, "Yes", "No")</f>
        <v>Yes</v>
      </c>
      <c r="K437">
        <f t="shared" si="94"/>
        <v>1</v>
      </c>
      <c r="L437" t="str">
        <f>IF(E437=H437, "Yes", "No")</f>
        <v>No</v>
      </c>
      <c r="M437">
        <f t="shared" si="95"/>
        <v>0</v>
      </c>
      <c r="N437" t="s">
        <v>0</v>
      </c>
      <c r="O437" t="s">
        <v>463</v>
      </c>
      <c r="P437" t="s">
        <v>191</v>
      </c>
      <c r="Q437" t="s">
        <v>3</v>
      </c>
    </row>
    <row r="438" spans="1:17" x14ac:dyDescent="0.3">
      <c r="A438" t="s">
        <v>120</v>
      </c>
      <c r="B438" t="s">
        <v>845</v>
      </c>
      <c r="C438" t="s">
        <v>122</v>
      </c>
      <c r="D438" t="s">
        <v>846</v>
      </c>
      <c r="E438" t="s">
        <v>172</v>
      </c>
      <c r="F438" t="str">
        <f t="shared" ref="F438:F459" si="104">IF(E438="R", "R", "CS")</f>
        <v>CS</v>
      </c>
      <c r="G438">
        <f t="shared" si="93"/>
        <v>1</v>
      </c>
      <c r="H438" t="s">
        <v>10</v>
      </c>
      <c r="I438" t="str">
        <f t="shared" ref="I438:I459" si="105">IF(H438="R", "R")</f>
        <v>R</v>
      </c>
      <c r="J438" t="str">
        <f t="shared" ref="J438:J459" si="106">IF(F438=I438, "Yes", "No")</f>
        <v>No</v>
      </c>
      <c r="K438">
        <f t="shared" si="94"/>
        <v>0</v>
      </c>
      <c r="L438" t="str">
        <f t="shared" ref="L438:L459" si="107">IF(E438=H438, "Yes", "No")</f>
        <v>No</v>
      </c>
      <c r="M438">
        <f t="shared" si="95"/>
        <v>0</v>
      </c>
      <c r="N438" t="s">
        <v>0</v>
      </c>
      <c r="O438" t="s">
        <v>463</v>
      </c>
      <c r="P438" t="s">
        <v>191</v>
      </c>
      <c r="Q438" t="s">
        <v>3</v>
      </c>
    </row>
    <row r="439" spans="1:17" x14ac:dyDescent="0.3">
      <c r="A439" t="s">
        <v>124</v>
      </c>
      <c r="B439" t="s">
        <v>847</v>
      </c>
      <c r="C439" t="s">
        <v>126</v>
      </c>
      <c r="D439" t="s">
        <v>848</v>
      </c>
      <c r="E439" t="s">
        <v>10</v>
      </c>
      <c r="F439" t="str">
        <f t="shared" si="104"/>
        <v>R</v>
      </c>
      <c r="G439">
        <f t="shared" si="93"/>
        <v>0</v>
      </c>
      <c r="H439" t="s">
        <v>10</v>
      </c>
      <c r="I439" t="str">
        <f t="shared" si="105"/>
        <v>R</v>
      </c>
      <c r="J439" t="str">
        <f t="shared" si="106"/>
        <v>Yes</v>
      </c>
      <c r="K439">
        <f t="shared" si="94"/>
        <v>1</v>
      </c>
      <c r="L439" t="str">
        <f t="shared" si="107"/>
        <v>Yes</v>
      </c>
      <c r="M439">
        <f t="shared" si="95"/>
        <v>1</v>
      </c>
      <c r="N439" t="s">
        <v>0</v>
      </c>
      <c r="O439" t="s">
        <v>463</v>
      </c>
      <c r="P439" t="s">
        <v>191</v>
      </c>
      <c r="Q439" t="s">
        <v>3</v>
      </c>
    </row>
    <row r="440" spans="1:17" x14ac:dyDescent="0.3">
      <c r="A440" t="s">
        <v>128</v>
      </c>
      <c r="B440" t="s">
        <v>849</v>
      </c>
      <c r="C440" t="s">
        <v>130</v>
      </c>
      <c r="D440" t="s">
        <v>850</v>
      </c>
      <c r="E440" t="s">
        <v>10</v>
      </c>
      <c r="F440" t="str">
        <f t="shared" si="104"/>
        <v>R</v>
      </c>
      <c r="G440">
        <f t="shared" si="93"/>
        <v>0</v>
      </c>
      <c r="H440" t="s">
        <v>10</v>
      </c>
      <c r="I440" t="str">
        <f t="shared" si="105"/>
        <v>R</v>
      </c>
      <c r="J440" t="str">
        <f t="shared" si="106"/>
        <v>Yes</v>
      </c>
      <c r="K440">
        <f t="shared" si="94"/>
        <v>1</v>
      </c>
      <c r="L440" t="str">
        <f t="shared" si="107"/>
        <v>Yes</v>
      </c>
      <c r="M440">
        <f t="shared" si="95"/>
        <v>1</v>
      </c>
      <c r="N440" t="s">
        <v>0</v>
      </c>
      <c r="O440" t="s">
        <v>463</v>
      </c>
      <c r="P440" t="s">
        <v>191</v>
      </c>
      <c r="Q440" t="s">
        <v>3</v>
      </c>
    </row>
    <row r="441" spans="1:17" x14ac:dyDescent="0.3">
      <c r="A441" t="s">
        <v>128</v>
      </c>
      <c r="B441" t="s">
        <v>849</v>
      </c>
      <c r="C441" t="s">
        <v>132</v>
      </c>
      <c r="D441" t="s">
        <v>851</v>
      </c>
      <c r="E441" t="s">
        <v>10</v>
      </c>
      <c r="F441" t="str">
        <f t="shared" si="104"/>
        <v>R</v>
      </c>
      <c r="G441">
        <f t="shared" si="93"/>
        <v>0</v>
      </c>
      <c r="H441" t="s">
        <v>10</v>
      </c>
      <c r="I441" t="str">
        <f t="shared" si="105"/>
        <v>R</v>
      </c>
      <c r="J441" t="str">
        <f t="shared" si="106"/>
        <v>Yes</v>
      </c>
      <c r="K441">
        <f t="shared" si="94"/>
        <v>1</v>
      </c>
      <c r="L441" t="str">
        <f t="shared" si="107"/>
        <v>Yes</v>
      </c>
      <c r="M441">
        <f t="shared" si="95"/>
        <v>1</v>
      </c>
      <c r="N441" t="s">
        <v>0</v>
      </c>
      <c r="O441" t="s">
        <v>463</v>
      </c>
      <c r="P441" t="s">
        <v>191</v>
      </c>
      <c r="Q441" t="s">
        <v>3</v>
      </c>
    </row>
    <row r="442" spans="1:17" x14ac:dyDescent="0.3">
      <c r="A442" t="s">
        <v>128</v>
      </c>
      <c r="B442" t="s">
        <v>849</v>
      </c>
      <c r="C442" t="s">
        <v>134</v>
      </c>
      <c r="D442" t="s">
        <v>852</v>
      </c>
      <c r="E442" t="s">
        <v>59</v>
      </c>
      <c r="F442" t="str">
        <f t="shared" si="104"/>
        <v>CS</v>
      </c>
      <c r="G442">
        <f t="shared" si="93"/>
        <v>1</v>
      </c>
      <c r="H442" t="s">
        <v>172</v>
      </c>
      <c r="I442" t="s">
        <v>25</v>
      </c>
      <c r="J442" t="str">
        <f t="shared" si="106"/>
        <v>Yes</v>
      </c>
      <c r="K442">
        <f t="shared" si="94"/>
        <v>1</v>
      </c>
      <c r="L442" t="str">
        <f t="shared" si="107"/>
        <v>No</v>
      </c>
      <c r="M442">
        <f t="shared" si="95"/>
        <v>0</v>
      </c>
      <c r="N442" t="s">
        <v>0</v>
      </c>
      <c r="O442" t="s">
        <v>463</v>
      </c>
      <c r="P442" t="s">
        <v>191</v>
      </c>
      <c r="Q442" t="s">
        <v>3</v>
      </c>
    </row>
    <row r="443" spans="1:17" x14ac:dyDescent="0.3">
      <c r="A443" t="s">
        <v>136</v>
      </c>
      <c r="B443" t="s">
        <v>853</v>
      </c>
      <c r="C443" t="s">
        <v>138</v>
      </c>
      <c r="D443" t="s">
        <v>854</v>
      </c>
      <c r="E443" t="s">
        <v>10</v>
      </c>
      <c r="F443" t="str">
        <f t="shared" si="104"/>
        <v>R</v>
      </c>
      <c r="G443">
        <f t="shared" si="93"/>
        <v>0</v>
      </c>
      <c r="H443" t="s">
        <v>10</v>
      </c>
      <c r="I443" t="str">
        <f t="shared" si="105"/>
        <v>R</v>
      </c>
      <c r="J443" t="str">
        <f t="shared" si="106"/>
        <v>Yes</v>
      </c>
      <c r="K443">
        <f t="shared" si="94"/>
        <v>1</v>
      </c>
      <c r="L443" t="str">
        <f t="shared" si="107"/>
        <v>Yes</v>
      </c>
      <c r="M443">
        <f t="shared" si="95"/>
        <v>1</v>
      </c>
      <c r="N443" t="s">
        <v>0</v>
      </c>
      <c r="O443" t="s">
        <v>463</v>
      </c>
      <c r="P443" t="s">
        <v>191</v>
      </c>
      <c r="Q443" t="s">
        <v>3</v>
      </c>
    </row>
    <row r="444" spans="1:17" x14ac:dyDescent="0.3">
      <c r="A444" t="s">
        <v>140</v>
      </c>
      <c r="B444" t="s">
        <v>855</v>
      </c>
      <c r="C444" t="s">
        <v>856</v>
      </c>
      <c r="D444" t="s">
        <v>857</v>
      </c>
      <c r="E444" t="s">
        <v>10</v>
      </c>
      <c r="F444" t="str">
        <f t="shared" si="104"/>
        <v>R</v>
      </c>
      <c r="G444">
        <f t="shared" si="93"/>
        <v>0</v>
      </c>
      <c r="H444" t="s">
        <v>10</v>
      </c>
      <c r="I444" t="str">
        <f t="shared" si="105"/>
        <v>R</v>
      </c>
      <c r="J444" t="str">
        <f t="shared" si="106"/>
        <v>Yes</v>
      </c>
      <c r="K444">
        <f t="shared" si="94"/>
        <v>1</v>
      </c>
      <c r="L444" t="str">
        <f t="shared" si="107"/>
        <v>Yes</v>
      </c>
      <c r="M444">
        <f t="shared" si="95"/>
        <v>1</v>
      </c>
      <c r="N444" t="s">
        <v>0</v>
      </c>
      <c r="O444" t="s">
        <v>463</v>
      </c>
      <c r="P444" t="s">
        <v>191</v>
      </c>
      <c r="Q444" t="s">
        <v>3</v>
      </c>
    </row>
    <row r="445" spans="1:17" x14ac:dyDescent="0.3">
      <c r="A445" t="s">
        <v>145</v>
      </c>
      <c r="B445" t="s">
        <v>858</v>
      </c>
      <c r="C445" t="s">
        <v>147</v>
      </c>
      <c r="D445" t="s">
        <v>859</v>
      </c>
      <c r="E445" t="s">
        <v>44</v>
      </c>
      <c r="F445" t="str">
        <f t="shared" si="104"/>
        <v>CS</v>
      </c>
      <c r="G445">
        <f t="shared" si="93"/>
        <v>1</v>
      </c>
      <c r="H445" t="s">
        <v>25</v>
      </c>
      <c r="I445" t="s">
        <v>25</v>
      </c>
      <c r="J445" t="str">
        <f t="shared" si="106"/>
        <v>Yes</v>
      </c>
      <c r="K445">
        <f t="shared" si="94"/>
        <v>1</v>
      </c>
      <c r="L445" t="str">
        <f t="shared" si="107"/>
        <v>No</v>
      </c>
      <c r="M445">
        <f t="shared" si="95"/>
        <v>0</v>
      </c>
      <c r="N445" t="s">
        <v>0</v>
      </c>
      <c r="O445" t="s">
        <v>463</v>
      </c>
      <c r="P445" t="s">
        <v>191</v>
      </c>
      <c r="Q445" t="s">
        <v>3</v>
      </c>
    </row>
    <row r="446" spans="1:17" x14ac:dyDescent="0.3">
      <c r="A446" t="s">
        <v>148</v>
      </c>
      <c r="B446" t="s">
        <v>860</v>
      </c>
      <c r="C446" t="s">
        <v>150</v>
      </c>
      <c r="D446" t="s">
        <v>861</v>
      </c>
      <c r="E446" t="s">
        <v>10</v>
      </c>
      <c r="F446" t="str">
        <f t="shared" si="104"/>
        <v>R</v>
      </c>
      <c r="G446">
        <f t="shared" si="93"/>
        <v>0</v>
      </c>
      <c r="H446" t="s">
        <v>862</v>
      </c>
      <c r="I446" t="s">
        <v>862</v>
      </c>
      <c r="J446" t="str">
        <f t="shared" si="106"/>
        <v>No</v>
      </c>
      <c r="K446">
        <f t="shared" si="94"/>
        <v>0</v>
      </c>
      <c r="L446" t="str">
        <f t="shared" si="107"/>
        <v>No</v>
      </c>
      <c r="M446">
        <f t="shared" si="95"/>
        <v>0</v>
      </c>
      <c r="N446" t="s">
        <v>0</v>
      </c>
      <c r="O446" t="s">
        <v>463</v>
      </c>
      <c r="P446" t="s">
        <v>191</v>
      </c>
      <c r="Q446" t="s">
        <v>3</v>
      </c>
    </row>
    <row r="447" spans="1:17" x14ac:dyDescent="0.3">
      <c r="A447" t="s">
        <v>148</v>
      </c>
      <c r="B447" t="s">
        <v>860</v>
      </c>
      <c r="C447" t="s">
        <v>152</v>
      </c>
      <c r="D447" t="s">
        <v>863</v>
      </c>
      <c r="E447" t="s">
        <v>59</v>
      </c>
      <c r="F447" t="str">
        <f t="shared" si="104"/>
        <v>CS</v>
      </c>
      <c r="G447">
        <f t="shared" si="93"/>
        <v>1</v>
      </c>
      <c r="H447" t="s">
        <v>10</v>
      </c>
      <c r="I447" t="str">
        <f t="shared" si="105"/>
        <v>R</v>
      </c>
      <c r="J447" t="str">
        <f t="shared" si="106"/>
        <v>No</v>
      </c>
      <c r="K447">
        <f t="shared" si="94"/>
        <v>0</v>
      </c>
      <c r="L447" t="str">
        <f t="shared" si="107"/>
        <v>No</v>
      </c>
      <c r="M447">
        <f t="shared" si="95"/>
        <v>0</v>
      </c>
      <c r="N447" t="s">
        <v>0</v>
      </c>
      <c r="O447" t="s">
        <v>463</v>
      </c>
      <c r="P447" t="s">
        <v>191</v>
      </c>
      <c r="Q447" t="s">
        <v>3</v>
      </c>
    </row>
    <row r="448" spans="1:17" x14ac:dyDescent="0.3">
      <c r="A448" t="s">
        <v>154</v>
      </c>
      <c r="B448" t="s">
        <v>864</v>
      </c>
      <c r="C448" t="s">
        <v>156</v>
      </c>
      <c r="D448" t="s">
        <v>865</v>
      </c>
      <c r="E448" t="s">
        <v>10</v>
      </c>
      <c r="F448" t="str">
        <f t="shared" si="104"/>
        <v>R</v>
      </c>
      <c r="G448">
        <f t="shared" si="93"/>
        <v>0</v>
      </c>
      <c r="H448" t="s">
        <v>10</v>
      </c>
      <c r="I448" t="str">
        <f t="shared" si="105"/>
        <v>R</v>
      </c>
      <c r="J448" t="str">
        <f t="shared" si="106"/>
        <v>Yes</v>
      </c>
      <c r="K448">
        <f t="shared" si="94"/>
        <v>1</v>
      </c>
      <c r="L448" t="str">
        <f t="shared" si="107"/>
        <v>Yes</v>
      </c>
      <c r="M448">
        <f t="shared" si="95"/>
        <v>1</v>
      </c>
      <c r="N448" t="s">
        <v>0</v>
      </c>
      <c r="O448" t="s">
        <v>463</v>
      </c>
      <c r="P448" t="s">
        <v>191</v>
      </c>
      <c r="Q448" t="s">
        <v>3</v>
      </c>
    </row>
    <row r="449" spans="1:17" x14ac:dyDescent="0.3">
      <c r="A449" t="s">
        <v>154</v>
      </c>
      <c r="B449" t="s">
        <v>864</v>
      </c>
      <c r="C449" t="s">
        <v>158</v>
      </c>
      <c r="D449" t="s">
        <v>866</v>
      </c>
      <c r="E449" t="s">
        <v>44</v>
      </c>
      <c r="F449" t="str">
        <f t="shared" si="104"/>
        <v>CS</v>
      </c>
      <c r="G449">
        <f t="shared" si="93"/>
        <v>1</v>
      </c>
      <c r="H449" t="s">
        <v>59</v>
      </c>
      <c r="I449" t="s">
        <v>25</v>
      </c>
      <c r="J449" t="str">
        <f t="shared" si="106"/>
        <v>Yes</v>
      </c>
      <c r="K449">
        <f t="shared" si="94"/>
        <v>1</v>
      </c>
      <c r="L449" t="str">
        <f t="shared" si="107"/>
        <v>No</v>
      </c>
      <c r="M449">
        <f t="shared" si="95"/>
        <v>0</v>
      </c>
      <c r="N449" t="s">
        <v>0</v>
      </c>
      <c r="O449" t="s">
        <v>463</v>
      </c>
      <c r="P449" t="s">
        <v>191</v>
      </c>
      <c r="Q449" t="s">
        <v>3</v>
      </c>
    </row>
    <row r="450" spans="1:17" x14ac:dyDescent="0.3">
      <c r="A450" t="s">
        <v>160</v>
      </c>
      <c r="B450" t="s">
        <v>867</v>
      </c>
      <c r="C450" t="s">
        <v>162</v>
      </c>
      <c r="D450" t="s">
        <v>868</v>
      </c>
      <c r="E450" t="s">
        <v>59</v>
      </c>
      <c r="F450" t="str">
        <f t="shared" si="104"/>
        <v>CS</v>
      </c>
      <c r="G450">
        <f t="shared" si="93"/>
        <v>1</v>
      </c>
      <c r="H450" t="s">
        <v>10</v>
      </c>
      <c r="I450" t="str">
        <f t="shared" si="105"/>
        <v>R</v>
      </c>
      <c r="J450" t="str">
        <f t="shared" si="106"/>
        <v>No</v>
      </c>
      <c r="K450">
        <f t="shared" si="94"/>
        <v>0</v>
      </c>
      <c r="L450" t="str">
        <f t="shared" si="107"/>
        <v>No</v>
      </c>
      <c r="M450">
        <f t="shared" si="95"/>
        <v>0</v>
      </c>
      <c r="N450" t="s">
        <v>0</v>
      </c>
      <c r="O450" t="s">
        <v>463</v>
      </c>
      <c r="P450" t="s">
        <v>191</v>
      </c>
      <c r="Q450" t="s">
        <v>3</v>
      </c>
    </row>
    <row r="451" spans="1:17" x14ac:dyDescent="0.3">
      <c r="A451" t="s">
        <v>164</v>
      </c>
      <c r="B451" t="s">
        <v>869</v>
      </c>
      <c r="C451" t="s">
        <v>166</v>
      </c>
      <c r="D451" t="s">
        <v>870</v>
      </c>
      <c r="E451" t="s">
        <v>59</v>
      </c>
      <c r="F451" t="str">
        <f t="shared" si="104"/>
        <v>CS</v>
      </c>
      <c r="G451">
        <f t="shared" ref="G451:G514" si="108">IF(F451="R",0,(IF(F451="CS",1,"HELP")))</f>
        <v>1</v>
      </c>
      <c r="H451" t="s">
        <v>10</v>
      </c>
      <c r="I451" t="str">
        <f t="shared" si="105"/>
        <v>R</v>
      </c>
      <c r="J451" t="str">
        <f t="shared" si="106"/>
        <v>No</v>
      </c>
      <c r="K451">
        <f t="shared" ref="K451:K514" si="109">IF(J451="Yes", 1, 0)</f>
        <v>0</v>
      </c>
      <c r="L451" t="str">
        <f t="shared" si="107"/>
        <v>No</v>
      </c>
      <c r="M451">
        <f t="shared" ref="M451:M514" si="110">IF(L451="Yes", 1, 0)</f>
        <v>0</v>
      </c>
      <c r="N451" t="s">
        <v>0</v>
      </c>
      <c r="O451" t="s">
        <v>463</v>
      </c>
      <c r="P451" t="s">
        <v>191</v>
      </c>
      <c r="Q451" t="s">
        <v>3</v>
      </c>
    </row>
    <row r="452" spans="1:17" x14ac:dyDescent="0.3">
      <c r="A452" t="s">
        <v>168</v>
      </c>
      <c r="B452" t="s">
        <v>871</v>
      </c>
      <c r="C452" t="s">
        <v>170</v>
      </c>
      <c r="D452" t="s">
        <v>872</v>
      </c>
      <c r="E452" t="s">
        <v>10</v>
      </c>
      <c r="F452" t="str">
        <f t="shared" si="104"/>
        <v>R</v>
      </c>
      <c r="G452">
        <f t="shared" si="108"/>
        <v>0</v>
      </c>
      <c r="H452" t="s">
        <v>10</v>
      </c>
      <c r="I452" t="str">
        <f t="shared" si="105"/>
        <v>R</v>
      </c>
      <c r="J452" t="str">
        <f t="shared" si="106"/>
        <v>Yes</v>
      </c>
      <c r="K452">
        <f t="shared" si="109"/>
        <v>1</v>
      </c>
      <c r="L452" t="str">
        <f t="shared" si="107"/>
        <v>Yes</v>
      </c>
      <c r="M452">
        <f t="shared" si="110"/>
        <v>1</v>
      </c>
      <c r="N452" t="s">
        <v>0</v>
      </c>
      <c r="O452" t="s">
        <v>463</v>
      </c>
      <c r="P452" t="s">
        <v>191</v>
      </c>
      <c r="Q452" t="s">
        <v>3</v>
      </c>
    </row>
    <row r="453" spans="1:17" x14ac:dyDescent="0.3">
      <c r="A453" t="s">
        <v>173</v>
      </c>
      <c r="B453" t="s">
        <v>873</v>
      </c>
      <c r="C453" t="s">
        <v>175</v>
      </c>
      <c r="D453" t="s">
        <v>874</v>
      </c>
      <c r="E453" t="s">
        <v>10</v>
      </c>
      <c r="F453" t="str">
        <f t="shared" si="104"/>
        <v>R</v>
      </c>
      <c r="G453">
        <f t="shared" si="108"/>
        <v>0</v>
      </c>
      <c r="H453" t="s">
        <v>59</v>
      </c>
      <c r="I453" t="s">
        <v>25</v>
      </c>
      <c r="J453" t="str">
        <f t="shared" si="106"/>
        <v>No</v>
      </c>
      <c r="K453">
        <f t="shared" si="109"/>
        <v>0</v>
      </c>
      <c r="L453" t="str">
        <f t="shared" si="107"/>
        <v>No</v>
      </c>
      <c r="M453">
        <f t="shared" si="110"/>
        <v>0</v>
      </c>
      <c r="N453" t="s">
        <v>0</v>
      </c>
      <c r="O453" t="s">
        <v>463</v>
      </c>
      <c r="P453" t="s">
        <v>191</v>
      </c>
      <c r="Q453" t="s">
        <v>3</v>
      </c>
    </row>
    <row r="454" spans="1:17" x14ac:dyDescent="0.3">
      <c r="A454" t="s">
        <v>173</v>
      </c>
      <c r="B454" t="s">
        <v>873</v>
      </c>
      <c r="C454" t="s">
        <v>177</v>
      </c>
      <c r="D454" t="s">
        <v>875</v>
      </c>
      <c r="E454" t="s">
        <v>10</v>
      </c>
      <c r="F454" t="str">
        <f t="shared" si="104"/>
        <v>R</v>
      </c>
      <c r="G454">
        <f t="shared" si="108"/>
        <v>0</v>
      </c>
      <c r="H454" t="s">
        <v>10</v>
      </c>
      <c r="I454" t="str">
        <f t="shared" si="105"/>
        <v>R</v>
      </c>
      <c r="J454" t="str">
        <f t="shared" si="106"/>
        <v>Yes</v>
      </c>
      <c r="K454">
        <f t="shared" si="109"/>
        <v>1</v>
      </c>
      <c r="L454" t="str">
        <f t="shared" si="107"/>
        <v>Yes</v>
      </c>
      <c r="M454">
        <f t="shared" si="110"/>
        <v>1</v>
      </c>
      <c r="N454" t="s">
        <v>0</v>
      </c>
      <c r="O454" t="s">
        <v>463</v>
      </c>
      <c r="P454" t="s">
        <v>191</v>
      </c>
      <c r="Q454" t="s">
        <v>3</v>
      </c>
    </row>
    <row r="455" spans="1:17" x14ac:dyDescent="0.3">
      <c r="A455" t="s">
        <v>179</v>
      </c>
      <c r="B455" t="s">
        <v>876</v>
      </c>
      <c r="C455" t="s">
        <v>181</v>
      </c>
      <c r="D455" t="s">
        <v>877</v>
      </c>
      <c r="E455" t="s">
        <v>172</v>
      </c>
      <c r="F455" t="str">
        <f t="shared" si="104"/>
        <v>CS</v>
      </c>
      <c r="G455">
        <f t="shared" si="108"/>
        <v>1</v>
      </c>
      <c r="H455" t="s">
        <v>25</v>
      </c>
      <c r="I455" t="s">
        <v>25</v>
      </c>
      <c r="J455" t="str">
        <f t="shared" si="106"/>
        <v>Yes</v>
      </c>
      <c r="K455">
        <f t="shared" si="109"/>
        <v>1</v>
      </c>
      <c r="L455" t="str">
        <f t="shared" si="107"/>
        <v>No</v>
      </c>
      <c r="M455">
        <f t="shared" si="110"/>
        <v>0</v>
      </c>
      <c r="N455" t="s">
        <v>0</v>
      </c>
      <c r="O455" t="s">
        <v>463</v>
      </c>
      <c r="P455" t="s">
        <v>191</v>
      </c>
      <c r="Q455" t="s">
        <v>3</v>
      </c>
    </row>
    <row r="456" spans="1:17" x14ac:dyDescent="0.3">
      <c r="A456" t="s">
        <v>179</v>
      </c>
      <c r="B456" t="s">
        <v>876</v>
      </c>
      <c r="C456" t="s">
        <v>183</v>
      </c>
      <c r="D456" t="s">
        <v>878</v>
      </c>
      <c r="E456" t="s">
        <v>10</v>
      </c>
      <c r="F456" t="str">
        <f t="shared" si="104"/>
        <v>R</v>
      </c>
      <c r="G456">
        <f t="shared" si="108"/>
        <v>0</v>
      </c>
      <c r="H456" t="s">
        <v>10</v>
      </c>
      <c r="I456" t="str">
        <f t="shared" si="105"/>
        <v>R</v>
      </c>
      <c r="J456" t="str">
        <f t="shared" si="106"/>
        <v>Yes</v>
      </c>
      <c r="K456">
        <f t="shared" si="109"/>
        <v>1</v>
      </c>
      <c r="L456" t="str">
        <f t="shared" si="107"/>
        <v>Yes</v>
      </c>
      <c r="M456">
        <f t="shared" si="110"/>
        <v>1</v>
      </c>
      <c r="N456" t="s">
        <v>0</v>
      </c>
      <c r="O456" t="s">
        <v>463</v>
      </c>
      <c r="P456" t="s">
        <v>191</v>
      </c>
      <c r="Q456" t="s">
        <v>3</v>
      </c>
    </row>
    <row r="457" spans="1:17" x14ac:dyDescent="0.3">
      <c r="A457" t="s">
        <v>179</v>
      </c>
      <c r="B457" t="s">
        <v>876</v>
      </c>
      <c r="C457" t="s">
        <v>185</v>
      </c>
      <c r="D457" t="s">
        <v>879</v>
      </c>
      <c r="E457" t="s">
        <v>10</v>
      </c>
      <c r="F457" t="str">
        <f t="shared" si="104"/>
        <v>R</v>
      </c>
      <c r="G457">
        <f t="shared" si="108"/>
        <v>0</v>
      </c>
      <c r="H457" t="s">
        <v>10</v>
      </c>
      <c r="I457" t="str">
        <f t="shared" si="105"/>
        <v>R</v>
      </c>
      <c r="J457" t="str">
        <f t="shared" si="106"/>
        <v>Yes</v>
      </c>
      <c r="K457">
        <f t="shared" si="109"/>
        <v>1</v>
      </c>
      <c r="L457" t="str">
        <f t="shared" si="107"/>
        <v>Yes</v>
      </c>
      <c r="M457">
        <f t="shared" si="110"/>
        <v>1</v>
      </c>
      <c r="N457" t="s">
        <v>0</v>
      </c>
      <c r="O457" t="s">
        <v>463</v>
      </c>
      <c r="P457" t="s">
        <v>191</v>
      </c>
      <c r="Q457" t="s">
        <v>3</v>
      </c>
    </row>
    <row r="458" spans="1:17" x14ac:dyDescent="0.3">
      <c r="A458" t="s">
        <v>179</v>
      </c>
      <c r="B458" t="s">
        <v>876</v>
      </c>
      <c r="C458" t="s">
        <v>187</v>
      </c>
      <c r="D458" t="s">
        <v>880</v>
      </c>
      <c r="E458" t="s">
        <v>59</v>
      </c>
      <c r="F458" t="str">
        <f t="shared" si="104"/>
        <v>CS</v>
      </c>
      <c r="G458">
        <f t="shared" si="108"/>
        <v>1</v>
      </c>
      <c r="H458" t="s">
        <v>59</v>
      </c>
      <c r="I458" t="s">
        <v>25</v>
      </c>
      <c r="J458" t="str">
        <f t="shared" si="106"/>
        <v>Yes</v>
      </c>
      <c r="K458">
        <f t="shared" si="109"/>
        <v>1</v>
      </c>
      <c r="L458" t="str">
        <f t="shared" si="107"/>
        <v>Yes</v>
      </c>
      <c r="M458">
        <f t="shared" si="110"/>
        <v>1</v>
      </c>
      <c r="N458" t="s">
        <v>0</v>
      </c>
      <c r="O458" t="s">
        <v>463</v>
      </c>
      <c r="P458" t="s">
        <v>191</v>
      </c>
      <c r="Q458" t="s">
        <v>3</v>
      </c>
    </row>
    <row r="459" spans="1:17" x14ac:dyDescent="0.3">
      <c r="A459" t="s">
        <v>179</v>
      </c>
      <c r="B459" t="s">
        <v>876</v>
      </c>
      <c r="C459" t="s">
        <v>881</v>
      </c>
      <c r="D459" t="s">
        <v>882</v>
      </c>
      <c r="E459" t="s">
        <v>10</v>
      </c>
      <c r="F459" t="str">
        <f t="shared" si="104"/>
        <v>R</v>
      </c>
      <c r="G459">
        <f t="shared" si="108"/>
        <v>0</v>
      </c>
      <c r="H459" t="s">
        <v>10</v>
      </c>
      <c r="I459" t="str">
        <f t="shared" si="105"/>
        <v>R</v>
      </c>
      <c r="J459" t="str">
        <f t="shared" si="106"/>
        <v>Yes</v>
      </c>
      <c r="K459">
        <f t="shared" si="109"/>
        <v>1</v>
      </c>
      <c r="L459" t="str">
        <f t="shared" si="107"/>
        <v>Yes</v>
      </c>
      <c r="M459">
        <f t="shared" si="110"/>
        <v>1</v>
      </c>
      <c r="N459" t="s">
        <v>0</v>
      </c>
      <c r="O459" t="s">
        <v>463</v>
      </c>
      <c r="P459" t="s">
        <v>191</v>
      </c>
      <c r="Q459" t="s">
        <v>3</v>
      </c>
    </row>
    <row r="460" spans="1:17" x14ac:dyDescent="0.3">
      <c r="A460" t="s">
        <v>116</v>
      </c>
      <c r="B460" t="s">
        <v>883</v>
      </c>
      <c r="C460" t="s">
        <v>118</v>
      </c>
      <c r="D460" t="s">
        <v>884</v>
      </c>
      <c r="E460" t="s">
        <v>10</v>
      </c>
      <c r="F460" t="str">
        <f>IF(E460="R", "R", "CS")</f>
        <v>R</v>
      </c>
      <c r="G460">
        <f t="shared" si="108"/>
        <v>0</v>
      </c>
      <c r="H460" t="s">
        <v>25</v>
      </c>
      <c r="I460" t="s">
        <v>25</v>
      </c>
      <c r="J460" t="str">
        <f>IF(F460=I460, "Yes", "No")</f>
        <v>No</v>
      </c>
      <c r="K460">
        <f t="shared" si="109"/>
        <v>0</v>
      </c>
      <c r="L460" t="str">
        <f>IF(E460=H460, "Yes", "No")</f>
        <v>No</v>
      </c>
      <c r="M460">
        <f t="shared" si="110"/>
        <v>0</v>
      </c>
      <c r="N460" t="s">
        <v>0</v>
      </c>
      <c r="O460" t="s">
        <v>463</v>
      </c>
      <c r="P460" t="s">
        <v>191</v>
      </c>
      <c r="Q460" t="s">
        <v>74</v>
      </c>
    </row>
    <row r="461" spans="1:17" x14ac:dyDescent="0.3">
      <c r="A461" t="s">
        <v>120</v>
      </c>
      <c r="B461" t="s">
        <v>885</v>
      </c>
      <c r="C461" t="s">
        <v>122</v>
      </c>
      <c r="D461" t="s">
        <v>886</v>
      </c>
      <c r="E461" t="s">
        <v>10</v>
      </c>
      <c r="F461" t="str">
        <f t="shared" ref="F461:F482" si="111">IF(E461="R", "R", "CS")</f>
        <v>R</v>
      </c>
      <c r="G461">
        <f t="shared" si="108"/>
        <v>0</v>
      </c>
      <c r="H461" t="s">
        <v>10</v>
      </c>
      <c r="I461" t="s">
        <v>10</v>
      </c>
      <c r="J461" t="str">
        <f t="shared" ref="J461:J482" si="112">IF(F461=I461, "Yes", "No")</f>
        <v>Yes</v>
      </c>
      <c r="K461">
        <f t="shared" si="109"/>
        <v>1</v>
      </c>
      <c r="L461" t="str">
        <f t="shared" ref="L461:L482" si="113">IF(E461=H461, "Yes", "No")</f>
        <v>Yes</v>
      </c>
      <c r="M461">
        <f t="shared" si="110"/>
        <v>1</v>
      </c>
      <c r="N461" t="s">
        <v>0</v>
      </c>
      <c r="O461" t="s">
        <v>463</v>
      </c>
      <c r="P461" t="s">
        <v>191</v>
      </c>
      <c r="Q461" t="s">
        <v>74</v>
      </c>
    </row>
    <row r="462" spans="1:17" x14ac:dyDescent="0.3">
      <c r="A462" t="s">
        <v>124</v>
      </c>
      <c r="B462" t="s">
        <v>887</v>
      </c>
      <c r="C462" t="s">
        <v>126</v>
      </c>
      <c r="D462" t="s">
        <v>888</v>
      </c>
      <c r="E462" t="s">
        <v>10</v>
      </c>
      <c r="F462" t="str">
        <f t="shared" si="111"/>
        <v>R</v>
      </c>
      <c r="G462">
        <f t="shared" si="108"/>
        <v>0</v>
      </c>
      <c r="H462" t="s">
        <v>10</v>
      </c>
      <c r="I462" t="s">
        <v>10</v>
      </c>
      <c r="J462" t="str">
        <f t="shared" si="112"/>
        <v>Yes</v>
      </c>
      <c r="K462">
        <f t="shared" si="109"/>
        <v>1</v>
      </c>
      <c r="L462" t="str">
        <f t="shared" si="113"/>
        <v>Yes</v>
      </c>
      <c r="M462">
        <f t="shared" si="110"/>
        <v>1</v>
      </c>
      <c r="N462" t="s">
        <v>0</v>
      </c>
      <c r="O462" t="s">
        <v>463</v>
      </c>
      <c r="P462" t="s">
        <v>191</v>
      </c>
      <c r="Q462" t="s">
        <v>74</v>
      </c>
    </row>
    <row r="463" spans="1:17" x14ac:dyDescent="0.3">
      <c r="A463" t="s">
        <v>128</v>
      </c>
      <c r="B463" t="s">
        <v>889</v>
      </c>
      <c r="C463" t="s">
        <v>130</v>
      </c>
      <c r="D463" t="s">
        <v>890</v>
      </c>
      <c r="E463" t="s">
        <v>10</v>
      </c>
      <c r="F463" t="str">
        <f t="shared" si="111"/>
        <v>R</v>
      </c>
      <c r="G463">
        <f t="shared" si="108"/>
        <v>0</v>
      </c>
      <c r="H463" t="s">
        <v>10</v>
      </c>
      <c r="I463" t="s">
        <v>10</v>
      </c>
      <c r="J463" t="str">
        <f t="shared" si="112"/>
        <v>Yes</v>
      </c>
      <c r="K463">
        <f t="shared" si="109"/>
        <v>1</v>
      </c>
      <c r="L463" t="str">
        <f t="shared" si="113"/>
        <v>Yes</v>
      </c>
      <c r="M463">
        <f t="shared" si="110"/>
        <v>1</v>
      </c>
      <c r="N463" t="s">
        <v>0</v>
      </c>
      <c r="O463" t="s">
        <v>463</v>
      </c>
      <c r="P463" t="s">
        <v>191</v>
      </c>
      <c r="Q463" t="s">
        <v>74</v>
      </c>
    </row>
    <row r="464" spans="1:17" x14ac:dyDescent="0.3">
      <c r="A464" t="s">
        <v>128</v>
      </c>
      <c r="B464" t="s">
        <v>889</v>
      </c>
      <c r="C464" t="s">
        <v>132</v>
      </c>
      <c r="D464" t="s">
        <v>891</v>
      </c>
      <c r="E464" t="s">
        <v>59</v>
      </c>
      <c r="F464" t="str">
        <f t="shared" si="111"/>
        <v>CS</v>
      </c>
      <c r="G464">
        <f t="shared" si="108"/>
        <v>1</v>
      </c>
      <c r="H464" t="s">
        <v>10</v>
      </c>
      <c r="I464" t="s">
        <v>10</v>
      </c>
      <c r="J464" t="str">
        <f t="shared" si="112"/>
        <v>No</v>
      </c>
      <c r="K464">
        <f t="shared" si="109"/>
        <v>0</v>
      </c>
      <c r="L464" t="str">
        <f t="shared" si="113"/>
        <v>No</v>
      </c>
      <c r="M464">
        <f t="shared" si="110"/>
        <v>0</v>
      </c>
      <c r="N464" t="s">
        <v>0</v>
      </c>
      <c r="O464" t="s">
        <v>463</v>
      </c>
      <c r="P464" t="s">
        <v>191</v>
      </c>
      <c r="Q464" t="s">
        <v>74</v>
      </c>
    </row>
    <row r="465" spans="1:17" x14ac:dyDescent="0.3">
      <c r="A465" t="s">
        <v>128</v>
      </c>
      <c r="B465" t="s">
        <v>889</v>
      </c>
      <c r="C465" t="s">
        <v>134</v>
      </c>
      <c r="D465" t="s">
        <v>892</v>
      </c>
      <c r="E465" t="s">
        <v>10</v>
      </c>
      <c r="F465" t="str">
        <f t="shared" si="111"/>
        <v>R</v>
      </c>
      <c r="G465">
        <f t="shared" si="108"/>
        <v>0</v>
      </c>
      <c r="H465" t="s">
        <v>10</v>
      </c>
      <c r="I465" t="s">
        <v>10</v>
      </c>
      <c r="J465" t="str">
        <f t="shared" si="112"/>
        <v>Yes</v>
      </c>
      <c r="K465">
        <f t="shared" si="109"/>
        <v>1</v>
      </c>
      <c r="L465" t="str">
        <f t="shared" si="113"/>
        <v>Yes</v>
      </c>
      <c r="M465">
        <f t="shared" si="110"/>
        <v>1</v>
      </c>
      <c r="N465" t="s">
        <v>0</v>
      </c>
      <c r="O465" t="s">
        <v>463</v>
      </c>
      <c r="P465" t="s">
        <v>191</v>
      </c>
      <c r="Q465" t="s">
        <v>74</v>
      </c>
    </row>
    <row r="466" spans="1:17" x14ac:dyDescent="0.3">
      <c r="A466" t="s">
        <v>136</v>
      </c>
      <c r="B466" t="s">
        <v>893</v>
      </c>
      <c r="C466" t="s">
        <v>138</v>
      </c>
      <c r="D466" t="s">
        <v>894</v>
      </c>
      <c r="E466" t="s">
        <v>10</v>
      </c>
      <c r="F466" t="str">
        <f t="shared" si="111"/>
        <v>R</v>
      </c>
      <c r="G466">
        <f t="shared" si="108"/>
        <v>0</v>
      </c>
      <c r="H466" t="s">
        <v>10</v>
      </c>
      <c r="I466" t="s">
        <v>10</v>
      </c>
      <c r="J466" t="str">
        <f t="shared" si="112"/>
        <v>Yes</v>
      </c>
      <c r="K466">
        <f t="shared" si="109"/>
        <v>1</v>
      </c>
      <c r="L466" t="str">
        <f t="shared" si="113"/>
        <v>Yes</v>
      </c>
      <c r="M466">
        <f t="shared" si="110"/>
        <v>1</v>
      </c>
      <c r="N466" t="s">
        <v>0</v>
      </c>
      <c r="O466" t="s">
        <v>463</v>
      </c>
      <c r="P466" t="s">
        <v>191</v>
      </c>
      <c r="Q466" t="s">
        <v>74</v>
      </c>
    </row>
    <row r="467" spans="1:17" x14ac:dyDescent="0.3">
      <c r="A467" t="s">
        <v>140</v>
      </c>
      <c r="B467" t="s">
        <v>895</v>
      </c>
      <c r="C467" t="s">
        <v>856</v>
      </c>
      <c r="D467" t="s">
        <v>896</v>
      </c>
      <c r="E467" t="s">
        <v>10</v>
      </c>
      <c r="F467" t="str">
        <f t="shared" si="111"/>
        <v>R</v>
      </c>
      <c r="G467">
        <f t="shared" si="108"/>
        <v>0</v>
      </c>
      <c r="H467" t="s">
        <v>10</v>
      </c>
      <c r="I467" t="s">
        <v>10</v>
      </c>
      <c r="J467" t="str">
        <f t="shared" si="112"/>
        <v>Yes</v>
      </c>
      <c r="K467">
        <f t="shared" si="109"/>
        <v>1</v>
      </c>
      <c r="L467" t="str">
        <f t="shared" si="113"/>
        <v>Yes</v>
      </c>
      <c r="M467">
        <f t="shared" si="110"/>
        <v>1</v>
      </c>
      <c r="N467" t="s">
        <v>0</v>
      </c>
      <c r="O467" t="s">
        <v>463</v>
      </c>
      <c r="P467" t="s">
        <v>191</v>
      </c>
      <c r="Q467" t="s">
        <v>74</v>
      </c>
    </row>
    <row r="468" spans="1:17" x14ac:dyDescent="0.3">
      <c r="A468" t="s">
        <v>145</v>
      </c>
      <c r="B468" t="s">
        <v>897</v>
      </c>
      <c r="C468" t="s">
        <v>147</v>
      </c>
      <c r="D468" t="s">
        <v>859</v>
      </c>
      <c r="E468" t="s">
        <v>44</v>
      </c>
      <c r="F468" t="str">
        <f t="shared" si="111"/>
        <v>CS</v>
      </c>
      <c r="G468">
        <f t="shared" si="108"/>
        <v>1</v>
      </c>
      <c r="H468" t="s">
        <v>10</v>
      </c>
      <c r="I468" t="s">
        <v>10</v>
      </c>
      <c r="J468" t="str">
        <f t="shared" si="112"/>
        <v>No</v>
      </c>
      <c r="K468">
        <f t="shared" si="109"/>
        <v>0</v>
      </c>
      <c r="L468" t="str">
        <f t="shared" si="113"/>
        <v>No</v>
      </c>
      <c r="M468">
        <f t="shared" si="110"/>
        <v>0</v>
      </c>
      <c r="N468" t="s">
        <v>0</v>
      </c>
      <c r="O468" t="s">
        <v>463</v>
      </c>
      <c r="P468" t="s">
        <v>191</v>
      </c>
      <c r="Q468" t="s">
        <v>74</v>
      </c>
    </row>
    <row r="469" spans="1:17" x14ac:dyDescent="0.3">
      <c r="A469" t="s">
        <v>148</v>
      </c>
      <c r="B469" t="s">
        <v>898</v>
      </c>
      <c r="C469" t="s">
        <v>150</v>
      </c>
      <c r="D469" t="s">
        <v>899</v>
      </c>
      <c r="E469" t="s">
        <v>10</v>
      </c>
      <c r="F469" t="str">
        <f t="shared" si="111"/>
        <v>R</v>
      </c>
      <c r="G469">
        <f t="shared" si="108"/>
        <v>0</v>
      </c>
      <c r="H469" t="s">
        <v>10</v>
      </c>
      <c r="I469" t="s">
        <v>10</v>
      </c>
      <c r="J469" t="str">
        <f t="shared" si="112"/>
        <v>Yes</v>
      </c>
      <c r="K469">
        <f t="shared" si="109"/>
        <v>1</v>
      </c>
      <c r="L469" t="str">
        <f t="shared" si="113"/>
        <v>Yes</v>
      </c>
      <c r="M469">
        <f t="shared" si="110"/>
        <v>1</v>
      </c>
      <c r="N469" t="s">
        <v>0</v>
      </c>
      <c r="O469" t="s">
        <v>463</v>
      </c>
      <c r="P469" t="s">
        <v>191</v>
      </c>
      <c r="Q469" t="s">
        <v>74</v>
      </c>
    </row>
    <row r="470" spans="1:17" x14ac:dyDescent="0.3">
      <c r="A470" t="s">
        <v>148</v>
      </c>
      <c r="B470" t="s">
        <v>898</v>
      </c>
      <c r="C470" t="s">
        <v>152</v>
      </c>
      <c r="D470" t="s">
        <v>900</v>
      </c>
      <c r="E470" t="s">
        <v>10</v>
      </c>
      <c r="F470" t="str">
        <f t="shared" si="111"/>
        <v>R</v>
      </c>
      <c r="G470">
        <f t="shared" si="108"/>
        <v>0</v>
      </c>
      <c r="H470" t="s">
        <v>10</v>
      </c>
      <c r="I470" t="s">
        <v>10</v>
      </c>
      <c r="J470" t="str">
        <f t="shared" si="112"/>
        <v>Yes</v>
      </c>
      <c r="K470">
        <f t="shared" si="109"/>
        <v>1</v>
      </c>
      <c r="L470" t="str">
        <f t="shared" si="113"/>
        <v>Yes</v>
      </c>
      <c r="M470">
        <f t="shared" si="110"/>
        <v>1</v>
      </c>
      <c r="N470" t="s">
        <v>0</v>
      </c>
      <c r="O470" t="s">
        <v>463</v>
      </c>
      <c r="P470" t="s">
        <v>191</v>
      </c>
      <c r="Q470" t="s">
        <v>74</v>
      </c>
    </row>
    <row r="471" spans="1:17" x14ac:dyDescent="0.3">
      <c r="A471" t="s">
        <v>154</v>
      </c>
      <c r="B471" t="s">
        <v>901</v>
      </c>
      <c r="C471" t="s">
        <v>156</v>
      </c>
      <c r="D471" t="s">
        <v>902</v>
      </c>
      <c r="E471" t="s">
        <v>10</v>
      </c>
      <c r="F471" t="str">
        <f t="shared" si="111"/>
        <v>R</v>
      </c>
      <c r="G471">
        <f t="shared" si="108"/>
        <v>0</v>
      </c>
      <c r="H471" t="s">
        <v>10</v>
      </c>
      <c r="I471" t="s">
        <v>10</v>
      </c>
      <c r="J471" t="str">
        <f t="shared" si="112"/>
        <v>Yes</v>
      </c>
      <c r="K471">
        <f t="shared" si="109"/>
        <v>1</v>
      </c>
      <c r="L471" t="str">
        <f t="shared" si="113"/>
        <v>Yes</v>
      </c>
      <c r="M471">
        <f t="shared" si="110"/>
        <v>1</v>
      </c>
      <c r="N471" t="s">
        <v>0</v>
      </c>
      <c r="O471" t="s">
        <v>463</v>
      </c>
      <c r="P471" t="s">
        <v>191</v>
      </c>
      <c r="Q471" t="s">
        <v>74</v>
      </c>
    </row>
    <row r="472" spans="1:17" x14ac:dyDescent="0.3">
      <c r="A472" t="s">
        <v>154</v>
      </c>
      <c r="B472" t="s">
        <v>901</v>
      </c>
      <c r="C472" t="s">
        <v>158</v>
      </c>
      <c r="D472" t="s">
        <v>903</v>
      </c>
      <c r="E472" t="s">
        <v>10</v>
      </c>
      <c r="F472" t="str">
        <f t="shared" si="111"/>
        <v>R</v>
      </c>
      <c r="G472">
        <f t="shared" si="108"/>
        <v>0</v>
      </c>
      <c r="H472" t="s">
        <v>10</v>
      </c>
      <c r="I472" t="s">
        <v>10</v>
      </c>
      <c r="J472" t="str">
        <f t="shared" si="112"/>
        <v>Yes</v>
      </c>
      <c r="K472">
        <f t="shared" si="109"/>
        <v>1</v>
      </c>
      <c r="L472" t="str">
        <f t="shared" si="113"/>
        <v>Yes</v>
      </c>
      <c r="M472">
        <f t="shared" si="110"/>
        <v>1</v>
      </c>
      <c r="N472" t="s">
        <v>0</v>
      </c>
      <c r="O472" t="s">
        <v>463</v>
      </c>
      <c r="P472" t="s">
        <v>191</v>
      </c>
      <c r="Q472" t="s">
        <v>74</v>
      </c>
    </row>
    <row r="473" spans="1:17" x14ac:dyDescent="0.3">
      <c r="A473" t="s">
        <v>160</v>
      </c>
      <c r="B473" t="s">
        <v>904</v>
      </c>
      <c r="C473" t="s">
        <v>162</v>
      </c>
      <c r="D473" t="s">
        <v>905</v>
      </c>
      <c r="E473" t="s">
        <v>10</v>
      </c>
      <c r="F473" t="str">
        <f t="shared" si="111"/>
        <v>R</v>
      </c>
      <c r="G473">
        <f t="shared" si="108"/>
        <v>0</v>
      </c>
      <c r="H473" t="s">
        <v>10</v>
      </c>
      <c r="I473" t="s">
        <v>10</v>
      </c>
      <c r="J473" t="str">
        <f t="shared" si="112"/>
        <v>Yes</v>
      </c>
      <c r="K473">
        <f t="shared" si="109"/>
        <v>1</v>
      </c>
      <c r="L473" t="str">
        <f t="shared" si="113"/>
        <v>Yes</v>
      </c>
      <c r="M473">
        <f t="shared" si="110"/>
        <v>1</v>
      </c>
      <c r="N473" t="s">
        <v>0</v>
      </c>
      <c r="O473" t="s">
        <v>463</v>
      </c>
      <c r="P473" t="s">
        <v>191</v>
      </c>
      <c r="Q473" t="s">
        <v>74</v>
      </c>
    </row>
    <row r="474" spans="1:17" x14ac:dyDescent="0.3">
      <c r="A474" t="s">
        <v>164</v>
      </c>
      <c r="B474" t="s">
        <v>906</v>
      </c>
      <c r="C474" t="s">
        <v>166</v>
      </c>
      <c r="D474" t="s">
        <v>907</v>
      </c>
      <c r="E474" t="s">
        <v>10</v>
      </c>
      <c r="F474" t="str">
        <f t="shared" si="111"/>
        <v>R</v>
      </c>
      <c r="G474">
        <f t="shared" si="108"/>
        <v>0</v>
      </c>
      <c r="H474" t="s">
        <v>10</v>
      </c>
      <c r="I474" t="s">
        <v>10</v>
      </c>
      <c r="J474" t="str">
        <f t="shared" si="112"/>
        <v>Yes</v>
      </c>
      <c r="K474">
        <f t="shared" si="109"/>
        <v>1</v>
      </c>
      <c r="L474" t="str">
        <f t="shared" si="113"/>
        <v>Yes</v>
      </c>
      <c r="M474">
        <f t="shared" si="110"/>
        <v>1</v>
      </c>
      <c r="N474" t="s">
        <v>0</v>
      </c>
      <c r="O474" t="s">
        <v>463</v>
      </c>
      <c r="P474" t="s">
        <v>191</v>
      </c>
      <c r="Q474" t="s">
        <v>74</v>
      </c>
    </row>
    <row r="475" spans="1:17" x14ac:dyDescent="0.3">
      <c r="A475" t="s">
        <v>168</v>
      </c>
      <c r="B475" t="s">
        <v>908</v>
      </c>
      <c r="C475" t="s">
        <v>170</v>
      </c>
      <c r="D475" t="s">
        <v>909</v>
      </c>
      <c r="E475" t="s">
        <v>10</v>
      </c>
      <c r="F475" t="str">
        <f t="shared" si="111"/>
        <v>R</v>
      </c>
      <c r="G475">
        <f t="shared" si="108"/>
        <v>0</v>
      </c>
      <c r="H475" t="s">
        <v>10</v>
      </c>
      <c r="I475" t="s">
        <v>10</v>
      </c>
      <c r="J475" t="str">
        <f t="shared" si="112"/>
        <v>Yes</v>
      </c>
      <c r="K475">
        <f t="shared" si="109"/>
        <v>1</v>
      </c>
      <c r="L475" t="str">
        <f t="shared" si="113"/>
        <v>Yes</v>
      </c>
      <c r="M475">
        <f t="shared" si="110"/>
        <v>1</v>
      </c>
      <c r="N475" t="s">
        <v>0</v>
      </c>
      <c r="O475" t="s">
        <v>463</v>
      </c>
      <c r="P475" t="s">
        <v>191</v>
      </c>
      <c r="Q475" t="s">
        <v>74</v>
      </c>
    </row>
    <row r="476" spans="1:17" x14ac:dyDescent="0.3">
      <c r="A476" t="s">
        <v>173</v>
      </c>
      <c r="B476" t="s">
        <v>910</v>
      </c>
      <c r="C476" t="s">
        <v>175</v>
      </c>
      <c r="D476" t="s">
        <v>911</v>
      </c>
      <c r="E476" t="s">
        <v>10</v>
      </c>
      <c r="F476" t="str">
        <f t="shared" si="111"/>
        <v>R</v>
      </c>
      <c r="G476">
        <f t="shared" si="108"/>
        <v>0</v>
      </c>
      <c r="H476" t="s">
        <v>10</v>
      </c>
      <c r="I476" t="s">
        <v>10</v>
      </c>
      <c r="J476" t="str">
        <f t="shared" si="112"/>
        <v>Yes</v>
      </c>
      <c r="K476">
        <f t="shared" si="109"/>
        <v>1</v>
      </c>
      <c r="L476" t="str">
        <f t="shared" si="113"/>
        <v>Yes</v>
      </c>
      <c r="M476">
        <f t="shared" si="110"/>
        <v>1</v>
      </c>
      <c r="N476" t="s">
        <v>0</v>
      </c>
      <c r="O476" t="s">
        <v>463</v>
      </c>
      <c r="P476" t="s">
        <v>191</v>
      </c>
      <c r="Q476" t="s">
        <v>74</v>
      </c>
    </row>
    <row r="477" spans="1:17" x14ac:dyDescent="0.3">
      <c r="A477" t="s">
        <v>173</v>
      </c>
      <c r="B477" t="s">
        <v>910</v>
      </c>
      <c r="C477" t="s">
        <v>177</v>
      </c>
      <c r="D477" t="s">
        <v>875</v>
      </c>
      <c r="E477" t="s">
        <v>10</v>
      </c>
      <c r="F477" t="str">
        <f t="shared" si="111"/>
        <v>R</v>
      </c>
      <c r="G477">
        <f t="shared" si="108"/>
        <v>0</v>
      </c>
      <c r="H477" t="s">
        <v>10</v>
      </c>
      <c r="I477" t="s">
        <v>10</v>
      </c>
      <c r="J477" t="str">
        <f t="shared" si="112"/>
        <v>Yes</v>
      </c>
      <c r="K477">
        <f t="shared" si="109"/>
        <v>1</v>
      </c>
      <c r="L477" t="str">
        <f t="shared" si="113"/>
        <v>Yes</v>
      </c>
      <c r="M477">
        <f t="shared" si="110"/>
        <v>1</v>
      </c>
      <c r="N477" t="s">
        <v>0</v>
      </c>
      <c r="O477" t="s">
        <v>463</v>
      </c>
      <c r="P477" t="s">
        <v>191</v>
      </c>
      <c r="Q477" t="s">
        <v>74</v>
      </c>
    </row>
    <row r="478" spans="1:17" x14ac:dyDescent="0.3">
      <c r="A478" t="s">
        <v>179</v>
      </c>
      <c r="B478" t="s">
        <v>912</v>
      </c>
      <c r="C478" t="s">
        <v>181</v>
      </c>
      <c r="D478" t="s">
        <v>913</v>
      </c>
      <c r="E478" t="s">
        <v>10</v>
      </c>
      <c r="F478" t="str">
        <f t="shared" si="111"/>
        <v>R</v>
      </c>
      <c r="G478">
        <f t="shared" si="108"/>
        <v>0</v>
      </c>
      <c r="H478" t="s">
        <v>10</v>
      </c>
      <c r="I478" t="s">
        <v>10</v>
      </c>
      <c r="J478" t="str">
        <f t="shared" si="112"/>
        <v>Yes</v>
      </c>
      <c r="K478">
        <f t="shared" si="109"/>
        <v>1</v>
      </c>
      <c r="L478" t="str">
        <f t="shared" si="113"/>
        <v>Yes</v>
      </c>
      <c r="M478">
        <f t="shared" si="110"/>
        <v>1</v>
      </c>
      <c r="N478" t="s">
        <v>0</v>
      </c>
      <c r="O478" t="s">
        <v>463</v>
      </c>
      <c r="P478" t="s">
        <v>191</v>
      </c>
      <c r="Q478" t="s">
        <v>74</v>
      </c>
    </row>
    <row r="479" spans="1:17" x14ac:dyDescent="0.3">
      <c r="A479" t="s">
        <v>179</v>
      </c>
      <c r="B479" t="s">
        <v>912</v>
      </c>
      <c r="C479" t="s">
        <v>183</v>
      </c>
      <c r="D479" t="s">
        <v>914</v>
      </c>
      <c r="E479" t="s">
        <v>10</v>
      </c>
      <c r="F479" t="str">
        <f t="shared" si="111"/>
        <v>R</v>
      </c>
      <c r="G479">
        <f t="shared" si="108"/>
        <v>0</v>
      </c>
      <c r="H479" t="s">
        <v>10</v>
      </c>
      <c r="I479" t="s">
        <v>10</v>
      </c>
      <c r="J479" t="str">
        <f t="shared" si="112"/>
        <v>Yes</v>
      </c>
      <c r="K479">
        <f t="shared" si="109"/>
        <v>1</v>
      </c>
      <c r="L479" t="str">
        <f t="shared" si="113"/>
        <v>Yes</v>
      </c>
      <c r="M479">
        <f t="shared" si="110"/>
        <v>1</v>
      </c>
      <c r="N479" t="s">
        <v>0</v>
      </c>
      <c r="O479" t="s">
        <v>463</v>
      </c>
      <c r="P479" t="s">
        <v>191</v>
      </c>
      <c r="Q479" t="s">
        <v>74</v>
      </c>
    </row>
    <row r="480" spans="1:17" x14ac:dyDescent="0.3">
      <c r="A480" t="s">
        <v>179</v>
      </c>
      <c r="B480" t="s">
        <v>912</v>
      </c>
      <c r="C480" t="s">
        <v>185</v>
      </c>
      <c r="D480" t="s">
        <v>879</v>
      </c>
      <c r="E480" t="s">
        <v>10</v>
      </c>
      <c r="F480" t="str">
        <f t="shared" si="111"/>
        <v>R</v>
      </c>
      <c r="G480">
        <f t="shared" si="108"/>
        <v>0</v>
      </c>
      <c r="H480" t="s">
        <v>10</v>
      </c>
      <c r="I480" t="s">
        <v>10</v>
      </c>
      <c r="J480" t="str">
        <f t="shared" si="112"/>
        <v>Yes</v>
      </c>
      <c r="K480">
        <f t="shared" si="109"/>
        <v>1</v>
      </c>
      <c r="L480" t="str">
        <f t="shared" si="113"/>
        <v>Yes</v>
      </c>
      <c r="M480">
        <f t="shared" si="110"/>
        <v>1</v>
      </c>
      <c r="N480" t="s">
        <v>0</v>
      </c>
      <c r="O480" t="s">
        <v>463</v>
      </c>
      <c r="P480" t="s">
        <v>191</v>
      </c>
      <c r="Q480" t="s">
        <v>74</v>
      </c>
    </row>
    <row r="481" spans="1:17" x14ac:dyDescent="0.3">
      <c r="A481" t="s">
        <v>179</v>
      </c>
      <c r="B481" t="s">
        <v>912</v>
      </c>
      <c r="C481" t="s">
        <v>187</v>
      </c>
      <c r="D481" t="s">
        <v>915</v>
      </c>
      <c r="E481" t="s">
        <v>10</v>
      </c>
      <c r="F481" t="str">
        <f t="shared" si="111"/>
        <v>R</v>
      </c>
      <c r="G481">
        <f t="shared" si="108"/>
        <v>0</v>
      </c>
      <c r="H481" t="s">
        <v>10</v>
      </c>
      <c r="I481" t="s">
        <v>10</v>
      </c>
      <c r="J481" t="str">
        <f t="shared" si="112"/>
        <v>Yes</v>
      </c>
      <c r="K481">
        <f t="shared" si="109"/>
        <v>1</v>
      </c>
      <c r="L481" t="str">
        <f t="shared" si="113"/>
        <v>Yes</v>
      </c>
      <c r="M481">
        <f t="shared" si="110"/>
        <v>1</v>
      </c>
      <c r="N481" t="s">
        <v>0</v>
      </c>
      <c r="O481" t="s">
        <v>463</v>
      </c>
      <c r="P481" t="s">
        <v>191</v>
      </c>
      <c r="Q481" t="s">
        <v>74</v>
      </c>
    </row>
    <row r="482" spans="1:17" x14ac:dyDescent="0.3">
      <c r="A482" t="s">
        <v>179</v>
      </c>
      <c r="B482" t="s">
        <v>912</v>
      </c>
      <c r="C482" t="s">
        <v>881</v>
      </c>
      <c r="D482" t="s">
        <v>882</v>
      </c>
      <c r="E482" t="s">
        <v>10</v>
      </c>
      <c r="F482" t="str">
        <f t="shared" si="111"/>
        <v>R</v>
      </c>
      <c r="G482">
        <f t="shared" si="108"/>
        <v>0</v>
      </c>
      <c r="H482" t="s">
        <v>10</v>
      </c>
      <c r="I482" t="s">
        <v>10</v>
      </c>
      <c r="J482" t="str">
        <f t="shared" si="112"/>
        <v>Yes</v>
      </c>
      <c r="K482">
        <f t="shared" si="109"/>
        <v>1</v>
      </c>
      <c r="L482" t="str">
        <f t="shared" si="113"/>
        <v>Yes</v>
      </c>
      <c r="M482">
        <f t="shared" si="110"/>
        <v>1</v>
      </c>
      <c r="N482" t="s">
        <v>0</v>
      </c>
      <c r="O482" t="s">
        <v>463</v>
      </c>
      <c r="P482" t="s">
        <v>191</v>
      </c>
      <c r="Q482" t="s">
        <v>74</v>
      </c>
    </row>
    <row r="483" spans="1:17" x14ac:dyDescent="0.3">
      <c r="A483" t="s">
        <v>916</v>
      </c>
      <c r="B483" t="s">
        <v>917</v>
      </c>
      <c r="C483" t="s">
        <v>118</v>
      </c>
      <c r="D483" t="s">
        <v>918</v>
      </c>
      <c r="E483" t="s">
        <v>10</v>
      </c>
      <c r="F483" t="str">
        <f>IF(E483="R", "R", "CS")</f>
        <v>R</v>
      </c>
      <c r="G483">
        <f t="shared" si="108"/>
        <v>0</v>
      </c>
      <c r="H483" t="s">
        <v>10</v>
      </c>
      <c r="I483" t="str">
        <f>IF(H483="R", "R", "CS")</f>
        <v>R</v>
      </c>
      <c r="J483" t="str">
        <f>IF(F483=I483, "Yes", "No")</f>
        <v>Yes</v>
      </c>
      <c r="K483">
        <f t="shared" si="109"/>
        <v>1</v>
      </c>
      <c r="L483" t="str">
        <f t="shared" ref="L483:L506" si="114">IF(E483=H483, "Yes", "No")</f>
        <v>Yes</v>
      </c>
      <c r="M483">
        <f t="shared" si="110"/>
        <v>1</v>
      </c>
      <c r="N483" t="s">
        <v>0</v>
      </c>
      <c r="O483" t="s">
        <v>463</v>
      </c>
      <c r="P483" t="s">
        <v>191</v>
      </c>
      <c r="Q483" t="s">
        <v>95</v>
      </c>
    </row>
    <row r="484" spans="1:17" x14ac:dyDescent="0.3">
      <c r="A484" t="s">
        <v>120</v>
      </c>
      <c r="B484" t="s">
        <v>845</v>
      </c>
      <c r="C484" t="s">
        <v>122</v>
      </c>
      <c r="D484" t="s">
        <v>846</v>
      </c>
      <c r="E484" t="s">
        <v>172</v>
      </c>
      <c r="F484" t="str">
        <f t="shared" ref="F484:F505" si="115">IF(E484="R", "R", "CS")</f>
        <v>CS</v>
      </c>
      <c r="G484">
        <f t="shared" si="108"/>
        <v>1</v>
      </c>
      <c r="H484" t="s">
        <v>10</v>
      </c>
      <c r="I484" t="str">
        <f t="shared" ref="I484:I505" si="116">IF(H484="R", "R", "CS")</f>
        <v>R</v>
      </c>
      <c r="J484" t="str">
        <f t="shared" ref="J484:J505" si="117">IF(F484=I484, "Yes", "No")</f>
        <v>No</v>
      </c>
      <c r="K484">
        <f t="shared" si="109"/>
        <v>0</v>
      </c>
      <c r="L484" t="str">
        <f t="shared" si="114"/>
        <v>No</v>
      </c>
      <c r="M484">
        <f t="shared" si="110"/>
        <v>0</v>
      </c>
      <c r="N484" t="s">
        <v>0</v>
      </c>
      <c r="O484" t="s">
        <v>463</v>
      </c>
      <c r="P484" t="s">
        <v>191</v>
      </c>
      <c r="Q484" t="s">
        <v>95</v>
      </c>
    </row>
    <row r="485" spans="1:17" x14ac:dyDescent="0.3">
      <c r="A485" t="s">
        <v>128</v>
      </c>
      <c r="B485" t="s">
        <v>919</v>
      </c>
      <c r="C485" t="s">
        <v>126</v>
      </c>
      <c r="D485" t="s">
        <v>920</v>
      </c>
      <c r="E485" t="s">
        <v>59</v>
      </c>
      <c r="F485" t="str">
        <f t="shared" si="115"/>
        <v>CS</v>
      </c>
      <c r="G485">
        <f t="shared" si="108"/>
        <v>1</v>
      </c>
      <c r="H485" t="s">
        <v>10</v>
      </c>
      <c r="I485" t="str">
        <f t="shared" si="116"/>
        <v>R</v>
      </c>
      <c r="J485" t="str">
        <f t="shared" si="117"/>
        <v>No</v>
      </c>
      <c r="K485">
        <f t="shared" si="109"/>
        <v>0</v>
      </c>
      <c r="L485" t="str">
        <f t="shared" si="114"/>
        <v>No</v>
      </c>
      <c r="M485">
        <f t="shared" si="110"/>
        <v>0</v>
      </c>
      <c r="N485" t="s">
        <v>0</v>
      </c>
      <c r="O485" t="s">
        <v>463</v>
      </c>
      <c r="P485" t="s">
        <v>191</v>
      </c>
      <c r="Q485" t="s">
        <v>95</v>
      </c>
    </row>
    <row r="486" spans="1:17" x14ac:dyDescent="0.3">
      <c r="A486" t="s">
        <v>128</v>
      </c>
      <c r="B486" t="s">
        <v>919</v>
      </c>
      <c r="C486" t="s">
        <v>130</v>
      </c>
      <c r="D486" t="s">
        <v>921</v>
      </c>
      <c r="E486" t="s">
        <v>59</v>
      </c>
      <c r="F486" t="str">
        <f t="shared" si="115"/>
        <v>CS</v>
      </c>
      <c r="G486">
        <f t="shared" si="108"/>
        <v>1</v>
      </c>
      <c r="H486" t="s">
        <v>59</v>
      </c>
      <c r="I486" t="str">
        <f t="shared" si="116"/>
        <v>CS</v>
      </c>
      <c r="J486" t="str">
        <f t="shared" si="117"/>
        <v>Yes</v>
      </c>
      <c r="K486">
        <f t="shared" si="109"/>
        <v>1</v>
      </c>
      <c r="L486" t="str">
        <f t="shared" si="114"/>
        <v>Yes</v>
      </c>
      <c r="M486">
        <f t="shared" si="110"/>
        <v>1</v>
      </c>
      <c r="N486" t="s">
        <v>0</v>
      </c>
      <c r="O486" t="s">
        <v>463</v>
      </c>
      <c r="P486" t="s">
        <v>191</v>
      </c>
      <c r="Q486" t="s">
        <v>95</v>
      </c>
    </row>
    <row r="487" spans="1:17" x14ac:dyDescent="0.3">
      <c r="A487" t="s">
        <v>128</v>
      </c>
      <c r="B487" t="s">
        <v>919</v>
      </c>
      <c r="C487" t="s">
        <v>132</v>
      </c>
      <c r="D487" t="s">
        <v>851</v>
      </c>
      <c r="E487" t="s">
        <v>59</v>
      </c>
      <c r="F487" t="str">
        <f t="shared" si="115"/>
        <v>CS</v>
      </c>
      <c r="G487">
        <f t="shared" si="108"/>
        <v>1</v>
      </c>
      <c r="H487" t="s">
        <v>10</v>
      </c>
      <c r="I487" t="str">
        <f t="shared" si="116"/>
        <v>R</v>
      </c>
      <c r="J487" t="str">
        <f t="shared" si="117"/>
        <v>No</v>
      </c>
      <c r="K487">
        <f t="shared" si="109"/>
        <v>0</v>
      </c>
      <c r="L487" t="str">
        <f t="shared" si="114"/>
        <v>No</v>
      </c>
      <c r="M487">
        <f t="shared" si="110"/>
        <v>0</v>
      </c>
      <c r="N487" t="s">
        <v>0</v>
      </c>
      <c r="O487" t="s">
        <v>463</v>
      </c>
      <c r="P487" t="s">
        <v>191</v>
      </c>
      <c r="Q487" t="s">
        <v>95</v>
      </c>
    </row>
    <row r="488" spans="1:17" x14ac:dyDescent="0.3">
      <c r="A488" t="s">
        <v>128</v>
      </c>
      <c r="B488" t="s">
        <v>919</v>
      </c>
      <c r="C488" t="s">
        <v>134</v>
      </c>
      <c r="D488" t="s">
        <v>852</v>
      </c>
      <c r="E488" t="s">
        <v>59</v>
      </c>
      <c r="F488" t="str">
        <f t="shared" si="115"/>
        <v>CS</v>
      </c>
      <c r="G488">
        <f t="shared" si="108"/>
        <v>1</v>
      </c>
      <c r="H488" t="s">
        <v>10</v>
      </c>
      <c r="I488" t="str">
        <f t="shared" si="116"/>
        <v>R</v>
      </c>
      <c r="J488" t="str">
        <f t="shared" si="117"/>
        <v>No</v>
      </c>
      <c r="K488">
        <f t="shared" si="109"/>
        <v>0</v>
      </c>
      <c r="L488" t="str">
        <f t="shared" si="114"/>
        <v>No</v>
      </c>
      <c r="M488">
        <f t="shared" si="110"/>
        <v>0</v>
      </c>
      <c r="N488" t="s">
        <v>0</v>
      </c>
      <c r="O488" t="s">
        <v>463</v>
      </c>
      <c r="P488" t="s">
        <v>191</v>
      </c>
      <c r="Q488" t="s">
        <v>95</v>
      </c>
    </row>
    <row r="489" spans="1:17" x14ac:dyDescent="0.3">
      <c r="A489" t="s">
        <v>136</v>
      </c>
      <c r="B489" t="s">
        <v>922</v>
      </c>
      <c r="C489" t="s">
        <v>138</v>
      </c>
      <c r="D489" t="s">
        <v>923</v>
      </c>
      <c r="E489" t="s">
        <v>59</v>
      </c>
      <c r="F489" t="str">
        <f t="shared" si="115"/>
        <v>CS</v>
      </c>
      <c r="G489">
        <f t="shared" si="108"/>
        <v>1</v>
      </c>
      <c r="H489" t="s">
        <v>10</v>
      </c>
      <c r="I489" t="str">
        <f t="shared" si="116"/>
        <v>R</v>
      </c>
      <c r="J489" t="str">
        <f t="shared" si="117"/>
        <v>No</v>
      </c>
      <c r="K489">
        <f t="shared" si="109"/>
        <v>0</v>
      </c>
      <c r="L489" t="str">
        <f t="shared" si="114"/>
        <v>No</v>
      </c>
      <c r="M489">
        <f t="shared" si="110"/>
        <v>0</v>
      </c>
      <c r="N489" t="s">
        <v>0</v>
      </c>
      <c r="O489" t="s">
        <v>463</v>
      </c>
      <c r="P489" t="s">
        <v>191</v>
      </c>
      <c r="Q489" t="s">
        <v>95</v>
      </c>
    </row>
    <row r="490" spans="1:17" x14ac:dyDescent="0.3">
      <c r="A490" t="s">
        <v>140</v>
      </c>
      <c r="B490" t="s">
        <v>924</v>
      </c>
      <c r="C490" t="s">
        <v>856</v>
      </c>
      <c r="D490" t="s">
        <v>925</v>
      </c>
      <c r="E490" t="s">
        <v>59</v>
      </c>
      <c r="F490" t="str">
        <f t="shared" si="115"/>
        <v>CS</v>
      </c>
      <c r="G490">
        <f t="shared" si="108"/>
        <v>1</v>
      </c>
      <c r="H490" t="s">
        <v>10</v>
      </c>
      <c r="I490" t="str">
        <f t="shared" si="116"/>
        <v>R</v>
      </c>
      <c r="J490" t="str">
        <f t="shared" si="117"/>
        <v>No</v>
      </c>
      <c r="K490">
        <f t="shared" si="109"/>
        <v>0</v>
      </c>
      <c r="L490" t="str">
        <f t="shared" si="114"/>
        <v>No</v>
      </c>
      <c r="M490">
        <f t="shared" si="110"/>
        <v>0</v>
      </c>
      <c r="N490" t="s">
        <v>0</v>
      </c>
      <c r="O490" t="s">
        <v>463</v>
      </c>
      <c r="P490" t="s">
        <v>191</v>
      </c>
      <c r="Q490" t="s">
        <v>95</v>
      </c>
    </row>
    <row r="491" spans="1:17" x14ac:dyDescent="0.3">
      <c r="A491" t="s">
        <v>926</v>
      </c>
      <c r="B491" t="s">
        <v>927</v>
      </c>
      <c r="C491" t="s">
        <v>147</v>
      </c>
      <c r="D491" t="s">
        <v>928</v>
      </c>
      <c r="E491" t="s">
        <v>59</v>
      </c>
      <c r="F491" t="str">
        <f t="shared" si="115"/>
        <v>CS</v>
      </c>
      <c r="G491">
        <f t="shared" si="108"/>
        <v>1</v>
      </c>
      <c r="H491" t="s">
        <v>10</v>
      </c>
      <c r="I491" t="str">
        <f t="shared" si="116"/>
        <v>R</v>
      </c>
      <c r="J491" t="str">
        <f t="shared" si="117"/>
        <v>No</v>
      </c>
      <c r="K491">
        <f t="shared" si="109"/>
        <v>0</v>
      </c>
      <c r="L491" t="str">
        <f t="shared" si="114"/>
        <v>No</v>
      </c>
      <c r="M491">
        <f t="shared" si="110"/>
        <v>0</v>
      </c>
      <c r="N491" t="s">
        <v>0</v>
      </c>
      <c r="O491" t="s">
        <v>463</v>
      </c>
      <c r="P491" t="s">
        <v>191</v>
      </c>
      <c r="Q491" t="s">
        <v>95</v>
      </c>
    </row>
    <row r="492" spans="1:17" x14ac:dyDescent="0.3">
      <c r="A492" t="s">
        <v>148</v>
      </c>
      <c r="B492" t="s">
        <v>929</v>
      </c>
      <c r="C492" t="s">
        <v>150</v>
      </c>
      <c r="D492" t="s">
        <v>930</v>
      </c>
      <c r="E492" t="s">
        <v>172</v>
      </c>
      <c r="F492" t="str">
        <f t="shared" si="115"/>
        <v>CS</v>
      </c>
      <c r="G492">
        <f t="shared" si="108"/>
        <v>1</v>
      </c>
      <c r="H492" t="s">
        <v>25</v>
      </c>
      <c r="I492" t="str">
        <f t="shared" si="116"/>
        <v>CS</v>
      </c>
      <c r="J492" t="str">
        <f t="shared" si="117"/>
        <v>Yes</v>
      </c>
      <c r="K492">
        <f t="shared" si="109"/>
        <v>1</v>
      </c>
      <c r="L492" t="str">
        <f t="shared" si="114"/>
        <v>No</v>
      </c>
      <c r="M492">
        <f t="shared" si="110"/>
        <v>0</v>
      </c>
      <c r="N492" t="s">
        <v>0</v>
      </c>
      <c r="O492" t="s">
        <v>463</v>
      </c>
      <c r="P492" t="s">
        <v>191</v>
      </c>
      <c r="Q492" t="s">
        <v>95</v>
      </c>
    </row>
    <row r="493" spans="1:17" x14ac:dyDescent="0.3">
      <c r="A493" t="s">
        <v>148</v>
      </c>
      <c r="B493" t="s">
        <v>929</v>
      </c>
      <c r="C493" t="s">
        <v>152</v>
      </c>
      <c r="D493" t="s">
        <v>863</v>
      </c>
      <c r="E493" t="s">
        <v>59</v>
      </c>
      <c r="F493" t="str">
        <f t="shared" si="115"/>
        <v>CS</v>
      </c>
      <c r="G493">
        <f t="shared" si="108"/>
        <v>1</v>
      </c>
      <c r="H493" t="s">
        <v>25</v>
      </c>
      <c r="I493" t="str">
        <f t="shared" si="116"/>
        <v>CS</v>
      </c>
      <c r="J493" t="str">
        <f t="shared" si="117"/>
        <v>Yes</v>
      </c>
      <c r="K493">
        <f t="shared" si="109"/>
        <v>1</v>
      </c>
      <c r="L493" t="str">
        <f t="shared" si="114"/>
        <v>No</v>
      </c>
      <c r="M493">
        <f t="shared" si="110"/>
        <v>0</v>
      </c>
      <c r="N493" t="s">
        <v>0</v>
      </c>
      <c r="O493" t="s">
        <v>463</v>
      </c>
      <c r="P493" t="s">
        <v>191</v>
      </c>
      <c r="Q493" t="s">
        <v>95</v>
      </c>
    </row>
    <row r="494" spans="1:17" x14ac:dyDescent="0.3">
      <c r="A494" t="s">
        <v>154</v>
      </c>
      <c r="B494" t="s">
        <v>931</v>
      </c>
      <c r="C494" t="s">
        <v>156</v>
      </c>
      <c r="D494" t="s">
        <v>932</v>
      </c>
      <c r="E494" t="s">
        <v>59</v>
      </c>
      <c r="F494" t="str">
        <f t="shared" si="115"/>
        <v>CS</v>
      </c>
      <c r="G494">
        <f t="shared" si="108"/>
        <v>1</v>
      </c>
      <c r="H494" t="s">
        <v>59</v>
      </c>
      <c r="I494" t="str">
        <f t="shared" si="116"/>
        <v>CS</v>
      </c>
      <c r="J494" t="str">
        <f t="shared" si="117"/>
        <v>Yes</v>
      </c>
      <c r="K494">
        <f t="shared" si="109"/>
        <v>1</v>
      </c>
      <c r="L494" t="str">
        <f t="shared" si="114"/>
        <v>Yes</v>
      </c>
      <c r="M494">
        <f t="shared" si="110"/>
        <v>1</v>
      </c>
      <c r="N494" t="s">
        <v>0</v>
      </c>
      <c r="O494" t="s">
        <v>463</v>
      </c>
      <c r="P494" t="s">
        <v>191</v>
      </c>
      <c r="Q494" t="s">
        <v>95</v>
      </c>
    </row>
    <row r="495" spans="1:17" x14ac:dyDescent="0.3">
      <c r="A495" t="s">
        <v>154</v>
      </c>
      <c r="B495" t="s">
        <v>931</v>
      </c>
      <c r="C495" t="s">
        <v>158</v>
      </c>
      <c r="D495" t="s">
        <v>933</v>
      </c>
      <c r="E495" t="s">
        <v>10</v>
      </c>
      <c r="F495" t="str">
        <f t="shared" si="115"/>
        <v>R</v>
      </c>
      <c r="G495">
        <f t="shared" si="108"/>
        <v>0</v>
      </c>
      <c r="H495" t="s">
        <v>10</v>
      </c>
      <c r="I495" t="str">
        <f t="shared" si="116"/>
        <v>R</v>
      </c>
      <c r="J495" t="str">
        <f t="shared" si="117"/>
        <v>Yes</v>
      </c>
      <c r="K495">
        <f t="shared" si="109"/>
        <v>1</v>
      </c>
      <c r="L495" t="str">
        <f t="shared" si="114"/>
        <v>Yes</v>
      </c>
      <c r="M495">
        <f t="shared" si="110"/>
        <v>1</v>
      </c>
      <c r="N495" t="s">
        <v>0</v>
      </c>
      <c r="O495" t="s">
        <v>463</v>
      </c>
      <c r="P495" t="s">
        <v>191</v>
      </c>
      <c r="Q495" t="s">
        <v>95</v>
      </c>
    </row>
    <row r="496" spans="1:17" x14ac:dyDescent="0.3">
      <c r="A496" t="s">
        <v>160</v>
      </c>
      <c r="B496" t="s">
        <v>934</v>
      </c>
      <c r="C496" t="s">
        <v>162</v>
      </c>
      <c r="D496" t="s">
        <v>935</v>
      </c>
      <c r="E496" t="s">
        <v>59</v>
      </c>
      <c r="F496" t="str">
        <f t="shared" si="115"/>
        <v>CS</v>
      </c>
      <c r="G496">
        <f t="shared" si="108"/>
        <v>1</v>
      </c>
      <c r="H496" t="s">
        <v>10</v>
      </c>
      <c r="I496" t="str">
        <f t="shared" si="116"/>
        <v>R</v>
      </c>
      <c r="J496" t="str">
        <f t="shared" si="117"/>
        <v>No</v>
      </c>
      <c r="K496">
        <f t="shared" si="109"/>
        <v>0</v>
      </c>
      <c r="L496" t="str">
        <f t="shared" si="114"/>
        <v>No</v>
      </c>
      <c r="M496">
        <f t="shared" si="110"/>
        <v>0</v>
      </c>
      <c r="N496" t="s">
        <v>0</v>
      </c>
      <c r="O496" t="s">
        <v>463</v>
      </c>
      <c r="P496" t="s">
        <v>191</v>
      </c>
      <c r="Q496" t="s">
        <v>95</v>
      </c>
    </row>
    <row r="497" spans="1:17" x14ac:dyDescent="0.3">
      <c r="A497" t="s">
        <v>164</v>
      </c>
      <c r="B497" t="s">
        <v>936</v>
      </c>
      <c r="C497" t="s">
        <v>166</v>
      </c>
      <c r="D497" t="s">
        <v>937</v>
      </c>
      <c r="E497" t="s">
        <v>10</v>
      </c>
      <c r="F497" t="str">
        <f t="shared" si="115"/>
        <v>R</v>
      </c>
      <c r="G497">
        <f t="shared" si="108"/>
        <v>0</v>
      </c>
      <c r="H497" t="s">
        <v>10</v>
      </c>
      <c r="I497" t="str">
        <f t="shared" si="116"/>
        <v>R</v>
      </c>
      <c r="J497" t="str">
        <f t="shared" si="117"/>
        <v>Yes</v>
      </c>
      <c r="K497">
        <f t="shared" si="109"/>
        <v>1</v>
      </c>
      <c r="L497" t="str">
        <f t="shared" si="114"/>
        <v>Yes</v>
      </c>
      <c r="M497">
        <f t="shared" si="110"/>
        <v>1</v>
      </c>
      <c r="N497" t="s">
        <v>0</v>
      </c>
      <c r="O497" t="s">
        <v>463</v>
      </c>
      <c r="P497" t="s">
        <v>191</v>
      </c>
      <c r="Q497" t="s">
        <v>95</v>
      </c>
    </row>
    <row r="498" spans="1:17" x14ac:dyDescent="0.3">
      <c r="A498" t="s">
        <v>168</v>
      </c>
      <c r="B498" t="s">
        <v>938</v>
      </c>
      <c r="C498" t="s">
        <v>170</v>
      </c>
      <c r="D498" t="s">
        <v>939</v>
      </c>
      <c r="E498" t="s">
        <v>44</v>
      </c>
      <c r="F498" t="str">
        <f t="shared" si="115"/>
        <v>CS</v>
      </c>
      <c r="G498">
        <f t="shared" si="108"/>
        <v>1</v>
      </c>
      <c r="H498" t="s">
        <v>10</v>
      </c>
      <c r="I498" t="str">
        <f t="shared" si="116"/>
        <v>R</v>
      </c>
      <c r="J498" t="str">
        <f t="shared" si="117"/>
        <v>No</v>
      </c>
      <c r="K498">
        <f t="shared" si="109"/>
        <v>0</v>
      </c>
      <c r="L498" t="str">
        <f t="shared" si="114"/>
        <v>No</v>
      </c>
      <c r="M498">
        <f t="shared" si="110"/>
        <v>0</v>
      </c>
      <c r="N498" t="s">
        <v>0</v>
      </c>
      <c r="O498" t="s">
        <v>463</v>
      </c>
      <c r="P498" t="s">
        <v>191</v>
      </c>
      <c r="Q498" t="s">
        <v>95</v>
      </c>
    </row>
    <row r="499" spans="1:17" x14ac:dyDescent="0.3">
      <c r="A499" t="s">
        <v>173</v>
      </c>
      <c r="B499" t="s">
        <v>940</v>
      </c>
      <c r="C499" t="s">
        <v>175</v>
      </c>
      <c r="D499" t="s">
        <v>941</v>
      </c>
      <c r="E499" t="s">
        <v>44</v>
      </c>
      <c r="F499" t="str">
        <f t="shared" si="115"/>
        <v>CS</v>
      </c>
      <c r="G499">
        <f t="shared" si="108"/>
        <v>1</v>
      </c>
      <c r="H499" t="s">
        <v>59</v>
      </c>
      <c r="I499" t="str">
        <f t="shared" si="116"/>
        <v>CS</v>
      </c>
      <c r="J499" t="str">
        <f t="shared" si="117"/>
        <v>Yes</v>
      </c>
      <c r="K499">
        <f t="shared" si="109"/>
        <v>1</v>
      </c>
      <c r="L499" t="str">
        <f t="shared" si="114"/>
        <v>No</v>
      </c>
      <c r="M499">
        <f t="shared" si="110"/>
        <v>0</v>
      </c>
      <c r="N499" t="s">
        <v>0</v>
      </c>
      <c r="O499" t="s">
        <v>463</v>
      </c>
      <c r="P499" t="s">
        <v>191</v>
      </c>
      <c r="Q499" t="s">
        <v>95</v>
      </c>
    </row>
    <row r="500" spans="1:17" x14ac:dyDescent="0.3">
      <c r="A500" t="s">
        <v>173</v>
      </c>
      <c r="B500" t="s">
        <v>940</v>
      </c>
      <c r="C500" t="s">
        <v>177</v>
      </c>
      <c r="D500" t="s">
        <v>942</v>
      </c>
      <c r="E500" t="s">
        <v>172</v>
      </c>
      <c r="F500" t="str">
        <f t="shared" si="115"/>
        <v>CS</v>
      </c>
      <c r="G500">
        <f t="shared" si="108"/>
        <v>1</v>
      </c>
      <c r="H500" t="s">
        <v>10</v>
      </c>
      <c r="I500" t="str">
        <f t="shared" si="116"/>
        <v>R</v>
      </c>
      <c r="J500" t="str">
        <f t="shared" si="117"/>
        <v>No</v>
      </c>
      <c r="K500">
        <f t="shared" si="109"/>
        <v>0</v>
      </c>
      <c r="L500" t="str">
        <f t="shared" si="114"/>
        <v>No</v>
      </c>
      <c r="M500">
        <f t="shared" si="110"/>
        <v>0</v>
      </c>
      <c r="N500" t="s">
        <v>0</v>
      </c>
      <c r="O500" t="s">
        <v>463</v>
      </c>
      <c r="P500" t="s">
        <v>191</v>
      </c>
      <c r="Q500" t="s">
        <v>95</v>
      </c>
    </row>
    <row r="501" spans="1:17" x14ac:dyDescent="0.3">
      <c r="A501" t="s">
        <v>179</v>
      </c>
      <c r="B501" t="s">
        <v>943</v>
      </c>
      <c r="C501" t="s">
        <v>181</v>
      </c>
      <c r="D501" t="s">
        <v>944</v>
      </c>
      <c r="E501" t="s">
        <v>59</v>
      </c>
      <c r="F501" t="str">
        <f t="shared" si="115"/>
        <v>CS</v>
      </c>
      <c r="G501">
        <f t="shared" si="108"/>
        <v>1</v>
      </c>
      <c r="H501" t="s">
        <v>25</v>
      </c>
      <c r="I501" t="str">
        <f t="shared" si="116"/>
        <v>CS</v>
      </c>
      <c r="J501" t="str">
        <f t="shared" si="117"/>
        <v>Yes</v>
      </c>
      <c r="K501">
        <f t="shared" si="109"/>
        <v>1</v>
      </c>
      <c r="L501" t="str">
        <f t="shared" si="114"/>
        <v>No</v>
      </c>
      <c r="M501">
        <f t="shared" si="110"/>
        <v>0</v>
      </c>
      <c r="N501" t="s">
        <v>0</v>
      </c>
      <c r="O501" t="s">
        <v>463</v>
      </c>
      <c r="P501" t="s">
        <v>191</v>
      </c>
      <c r="Q501" t="s">
        <v>95</v>
      </c>
    </row>
    <row r="502" spans="1:17" x14ac:dyDescent="0.3">
      <c r="A502" t="s">
        <v>179</v>
      </c>
      <c r="B502" t="s">
        <v>943</v>
      </c>
      <c r="C502" t="s">
        <v>183</v>
      </c>
      <c r="D502" t="s">
        <v>945</v>
      </c>
      <c r="E502" t="s">
        <v>59</v>
      </c>
      <c r="F502" t="str">
        <f t="shared" si="115"/>
        <v>CS</v>
      </c>
      <c r="G502">
        <f t="shared" si="108"/>
        <v>1</v>
      </c>
      <c r="H502" t="s">
        <v>10</v>
      </c>
      <c r="I502" t="str">
        <f t="shared" si="116"/>
        <v>R</v>
      </c>
      <c r="J502" t="str">
        <f t="shared" si="117"/>
        <v>No</v>
      </c>
      <c r="K502">
        <f t="shared" si="109"/>
        <v>0</v>
      </c>
      <c r="L502" t="str">
        <f t="shared" si="114"/>
        <v>No</v>
      </c>
      <c r="M502">
        <f t="shared" si="110"/>
        <v>0</v>
      </c>
      <c r="N502" t="s">
        <v>0</v>
      </c>
      <c r="O502" t="s">
        <v>463</v>
      </c>
      <c r="P502" t="s">
        <v>191</v>
      </c>
      <c r="Q502" t="s">
        <v>95</v>
      </c>
    </row>
    <row r="503" spans="1:17" x14ac:dyDescent="0.3">
      <c r="A503" t="s">
        <v>179</v>
      </c>
      <c r="B503" t="s">
        <v>943</v>
      </c>
      <c r="C503" t="s">
        <v>185</v>
      </c>
      <c r="D503" t="s">
        <v>946</v>
      </c>
      <c r="E503" t="s">
        <v>59</v>
      </c>
      <c r="F503" t="str">
        <f t="shared" si="115"/>
        <v>CS</v>
      </c>
      <c r="G503">
        <f t="shared" si="108"/>
        <v>1</v>
      </c>
      <c r="H503" t="s">
        <v>10</v>
      </c>
      <c r="I503" t="str">
        <f t="shared" si="116"/>
        <v>R</v>
      </c>
      <c r="J503" t="str">
        <f t="shared" si="117"/>
        <v>No</v>
      </c>
      <c r="K503">
        <f t="shared" si="109"/>
        <v>0</v>
      </c>
      <c r="L503" t="str">
        <f t="shared" si="114"/>
        <v>No</v>
      </c>
      <c r="M503">
        <f t="shared" si="110"/>
        <v>0</v>
      </c>
      <c r="N503" t="s">
        <v>0</v>
      </c>
      <c r="O503" t="s">
        <v>463</v>
      </c>
      <c r="P503" t="s">
        <v>191</v>
      </c>
      <c r="Q503" t="s">
        <v>95</v>
      </c>
    </row>
    <row r="504" spans="1:17" x14ac:dyDescent="0.3">
      <c r="A504" t="s">
        <v>179</v>
      </c>
      <c r="B504" t="s">
        <v>943</v>
      </c>
      <c r="C504" t="s">
        <v>187</v>
      </c>
      <c r="D504" t="s">
        <v>947</v>
      </c>
      <c r="E504" t="s">
        <v>59</v>
      </c>
      <c r="F504" t="str">
        <f t="shared" si="115"/>
        <v>CS</v>
      </c>
      <c r="G504">
        <f t="shared" si="108"/>
        <v>1</v>
      </c>
      <c r="H504" t="s">
        <v>59</v>
      </c>
      <c r="I504" t="str">
        <f t="shared" si="116"/>
        <v>CS</v>
      </c>
      <c r="J504" t="str">
        <f t="shared" si="117"/>
        <v>Yes</v>
      </c>
      <c r="K504">
        <f t="shared" si="109"/>
        <v>1</v>
      </c>
      <c r="L504" t="str">
        <f t="shared" si="114"/>
        <v>Yes</v>
      </c>
      <c r="M504">
        <f t="shared" si="110"/>
        <v>1</v>
      </c>
      <c r="N504" t="s">
        <v>0</v>
      </c>
      <c r="O504" t="s">
        <v>463</v>
      </c>
      <c r="P504" t="s">
        <v>191</v>
      </c>
      <c r="Q504" t="s">
        <v>95</v>
      </c>
    </row>
    <row r="505" spans="1:17" x14ac:dyDescent="0.3">
      <c r="A505" t="s">
        <v>179</v>
      </c>
      <c r="B505" t="s">
        <v>943</v>
      </c>
      <c r="C505" t="s">
        <v>881</v>
      </c>
      <c r="D505" t="s">
        <v>948</v>
      </c>
      <c r="E505" t="s">
        <v>10</v>
      </c>
      <c r="F505" t="str">
        <f t="shared" si="115"/>
        <v>R</v>
      </c>
      <c r="G505">
        <f t="shared" si="108"/>
        <v>0</v>
      </c>
      <c r="H505" t="s">
        <v>10</v>
      </c>
      <c r="I505" t="str">
        <f t="shared" si="116"/>
        <v>R</v>
      </c>
      <c r="J505" t="str">
        <f t="shared" si="117"/>
        <v>Yes</v>
      </c>
      <c r="K505">
        <f t="shared" si="109"/>
        <v>1</v>
      </c>
      <c r="L505" t="str">
        <f t="shared" si="114"/>
        <v>Yes</v>
      </c>
      <c r="M505">
        <f t="shared" si="110"/>
        <v>1</v>
      </c>
      <c r="N505" t="s">
        <v>0</v>
      </c>
      <c r="O505" t="s">
        <v>463</v>
      </c>
      <c r="P505" t="s">
        <v>191</v>
      </c>
      <c r="Q505" t="s">
        <v>95</v>
      </c>
    </row>
    <row r="506" spans="1:17" x14ac:dyDescent="0.3">
      <c r="A506" t="s">
        <v>977</v>
      </c>
      <c r="B506" t="s">
        <v>949</v>
      </c>
      <c r="C506" t="s">
        <v>8</v>
      </c>
      <c r="D506" t="s">
        <v>949</v>
      </c>
      <c r="E506" t="s">
        <v>59</v>
      </c>
      <c r="F506" t="s">
        <v>25</v>
      </c>
      <c r="G506">
        <f t="shared" si="108"/>
        <v>1</v>
      </c>
      <c r="H506" t="s">
        <v>10</v>
      </c>
      <c r="I506" t="str">
        <f>IF(H506="R", "R", "")</f>
        <v>R</v>
      </c>
      <c r="J506" t="str">
        <f>IF(F506=I506, "Yes", "No")</f>
        <v>No</v>
      </c>
      <c r="K506">
        <f t="shared" si="109"/>
        <v>0</v>
      </c>
      <c r="L506" t="str">
        <f t="shared" si="114"/>
        <v>No</v>
      </c>
      <c r="M506">
        <f t="shared" si="110"/>
        <v>0</v>
      </c>
      <c r="N506" t="s">
        <v>0</v>
      </c>
      <c r="O506" t="s">
        <v>463</v>
      </c>
      <c r="P506" t="s">
        <v>637</v>
      </c>
      <c r="Q506" t="s">
        <v>95</v>
      </c>
    </row>
    <row r="507" spans="1:17" x14ac:dyDescent="0.3">
      <c r="A507" t="s">
        <v>11</v>
      </c>
      <c r="B507" t="s">
        <v>978</v>
      </c>
      <c r="C507" t="s">
        <v>13</v>
      </c>
      <c r="D507" t="s">
        <v>951</v>
      </c>
      <c r="E507" t="s">
        <v>10</v>
      </c>
      <c r="F507" t="s">
        <v>10</v>
      </c>
      <c r="G507">
        <f t="shared" si="108"/>
        <v>0</v>
      </c>
      <c r="H507" t="s">
        <v>10</v>
      </c>
      <c r="I507" t="str">
        <f t="shared" ref="I507:I525" si="118">IF(H507="R", "R", "")</f>
        <v>R</v>
      </c>
      <c r="J507" t="str">
        <f t="shared" ref="J507:J525" si="119">IF(F507=I507, "Yes", "No")</f>
        <v>Yes</v>
      </c>
      <c r="K507">
        <f t="shared" si="109"/>
        <v>1</v>
      </c>
      <c r="L507" t="str">
        <f t="shared" ref="L507:L525" si="120">IF(E507=H507, "Yes", "No")</f>
        <v>Yes</v>
      </c>
      <c r="M507">
        <f t="shared" si="110"/>
        <v>1</v>
      </c>
      <c r="N507" t="s">
        <v>0</v>
      </c>
      <c r="O507" t="s">
        <v>463</v>
      </c>
      <c r="P507" t="s">
        <v>637</v>
      </c>
      <c r="Q507" t="s">
        <v>95</v>
      </c>
    </row>
    <row r="508" spans="1:17" x14ac:dyDescent="0.3">
      <c r="A508" t="s">
        <v>15</v>
      </c>
      <c r="B508" t="s">
        <v>952</v>
      </c>
      <c r="C508" t="s">
        <v>17</v>
      </c>
      <c r="D508" t="s">
        <v>953</v>
      </c>
      <c r="E508" t="s">
        <v>172</v>
      </c>
      <c r="F508" t="s">
        <v>25</v>
      </c>
      <c r="G508">
        <f t="shared" si="108"/>
        <v>1</v>
      </c>
      <c r="H508" t="s">
        <v>10</v>
      </c>
      <c r="I508" t="str">
        <f t="shared" si="118"/>
        <v>R</v>
      </c>
      <c r="J508" t="str">
        <f t="shared" si="119"/>
        <v>No</v>
      </c>
      <c r="K508">
        <f t="shared" si="109"/>
        <v>0</v>
      </c>
      <c r="L508" t="str">
        <f t="shared" si="120"/>
        <v>No</v>
      </c>
      <c r="M508">
        <f t="shared" si="110"/>
        <v>0</v>
      </c>
      <c r="N508" t="s">
        <v>0</v>
      </c>
      <c r="O508" t="s">
        <v>463</v>
      </c>
      <c r="P508" t="s">
        <v>637</v>
      </c>
      <c r="Q508" t="s">
        <v>95</v>
      </c>
    </row>
    <row r="509" spans="1:17" x14ac:dyDescent="0.3">
      <c r="A509" t="s">
        <v>15</v>
      </c>
      <c r="B509" t="s">
        <v>952</v>
      </c>
      <c r="C509" t="s">
        <v>19</v>
      </c>
      <c r="D509" t="s">
        <v>954</v>
      </c>
      <c r="E509" t="s">
        <v>10</v>
      </c>
      <c r="F509" t="s">
        <v>10</v>
      </c>
      <c r="G509">
        <f t="shared" si="108"/>
        <v>0</v>
      </c>
      <c r="H509" t="s">
        <v>10</v>
      </c>
      <c r="I509" t="str">
        <f t="shared" si="118"/>
        <v>R</v>
      </c>
      <c r="J509" t="str">
        <f t="shared" si="119"/>
        <v>Yes</v>
      </c>
      <c r="K509">
        <f t="shared" si="109"/>
        <v>1</v>
      </c>
      <c r="L509" t="str">
        <f t="shared" si="120"/>
        <v>Yes</v>
      </c>
      <c r="M509">
        <f t="shared" si="110"/>
        <v>1</v>
      </c>
      <c r="N509" t="s">
        <v>0</v>
      </c>
      <c r="O509" t="s">
        <v>463</v>
      </c>
      <c r="P509" t="s">
        <v>637</v>
      </c>
      <c r="Q509" t="s">
        <v>95</v>
      </c>
    </row>
    <row r="510" spans="1:17" x14ac:dyDescent="0.3">
      <c r="A510" t="s">
        <v>21</v>
      </c>
      <c r="B510" t="s">
        <v>955</v>
      </c>
      <c r="C510" t="s">
        <v>23</v>
      </c>
      <c r="D510" t="s">
        <v>956</v>
      </c>
      <c r="E510" t="s">
        <v>44</v>
      </c>
      <c r="F510" t="s">
        <v>25</v>
      </c>
      <c r="G510">
        <f t="shared" si="108"/>
        <v>1</v>
      </c>
      <c r="H510" t="s">
        <v>59</v>
      </c>
      <c r="I510" t="s">
        <v>25</v>
      </c>
      <c r="J510" t="str">
        <f t="shared" si="119"/>
        <v>Yes</v>
      </c>
      <c r="K510">
        <f t="shared" si="109"/>
        <v>1</v>
      </c>
      <c r="L510" t="str">
        <f t="shared" si="120"/>
        <v>No</v>
      </c>
      <c r="M510">
        <f t="shared" si="110"/>
        <v>0</v>
      </c>
      <c r="N510" t="s">
        <v>0</v>
      </c>
      <c r="O510" t="s">
        <v>463</v>
      </c>
      <c r="P510" t="s">
        <v>637</v>
      </c>
      <c r="Q510" t="s">
        <v>95</v>
      </c>
    </row>
    <row r="511" spans="1:17" x14ac:dyDescent="0.3">
      <c r="A511" t="s">
        <v>26</v>
      </c>
      <c r="B511" t="s">
        <v>957</v>
      </c>
      <c r="C511" t="s">
        <v>28</v>
      </c>
      <c r="D511" t="s">
        <v>958</v>
      </c>
      <c r="E511" t="s">
        <v>59</v>
      </c>
      <c r="F511" t="s">
        <v>25</v>
      </c>
      <c r="G511">
        <f t="shared" si="108"/>
        <v>1</v>
      </c>
      <c r="H511" t="s">
        <v>10</v>
      </c>
      <c r="I511" t="str">
        <f t="shared" si="118"/>
        <v>R</v>
      </c>
      <c r="J511" t="str">
        <f t="shared" si="119"/>
        <v>No</v>
      </c>
      <c r="K511">
        <f t="shared" si="109"/>
        <v>0</v>
      </c>
      <c r="L511" t="str">
        <f t="shared" si="120"/>
        <v>No</v>
      </c>
      <c r="M511">
        <f t="shared" si="110"/>
        <v>0</v>
      </c>
      <c r="N511" t="s">
        <v>0</v>
      </c>
      <c r="O511" t="s">
        <v>463</v>
      </c>
      <c r="P511" t="s">
        <v>637</v>
      </c>
      <c r="Q511" t="s">
        <v>95</v>
      </c>
    </row>
    <row r="512" spans="1:17" x14ac:dyDescent="0.3">
      <c r="A512" t="s">
        <v>30</v>
      </c>
      <c r="B512" t="s">
        <v>959</v>
      </c>
      <c r="C512" t="s">
        <v>32</v>
      </c>
      <c r="D512" t="s">
        <v>960</v>
      </c>
      <c r="E512" t="s">
        <v>59</v>
      </c>
      <c r="F512" t="s">
        <v>25</v>
      </c>
      <c r="G512">
        <f t="shared" si="108"/>
        <v>1</v>
      </c>
      <c r="H512" t="s">
        <v>10</v>
      </c>
      <c r="I512" t="str">
        <f t="shared" si="118"/>
        <v>R</v>
      </c>
      <c r="J512" t="str">
        <f t="shared" si="119"/>
        <v>No</v>
      </c>
      <c r="K512">
        <f t="shared" si="109"/>
        <v>0</v>
      </c>
      <c r="L512" t="str">
        <f t="shared" si="120"/>
        <v>No</v>
      </c>
      <c r="M512">
        <f t="shared" si="110"/>
        <v>0</v>
      </c>
      <c r="N512" t="s">
        <v>0</v>
      </c>
      <c r="O512" t="s">
        <v>463</v>
      </c>
      <c r="P512" t="s">
        <v>637</v>
      </c>
      <c r="Q512" t="s">
        <v>95</v>
      </c>
    </row>
    <row r="513" spans="1:17" x14ac:dyDescent="0.3">
      <c r="A513" t="s">
        <v>30</v>
      </c>
      <c r="B513" t="s">
        <v>959</v>
      </c>
      <c r="C513" t="s">
        <v>34</v>
      </c>
      <c r="D513" t="s">
        <v>961</v>
      </c>
      <c r="E513" t="s">
        <v>172</v>
      </c>
      <c r="F513" t="s">
        <v>25</v>
      </c>
      <c r="G513">
        <f t="shared" si="108"/>
        <v>1</v>
      </c>
      <c r="H513" t="s">
        <v>59</v>
      </c>
      <c r="I513" t="s">
        <v>25</v>
      </c>
      <c r="J513" t="str">
        <f t="shared" si="119"/>
        <v>Yes</v>
      </c>
      <c r="K513">
        <f t="shared" si="109"/>
        <v>1</v>
      </c>
      <c r="L513" t="str">
        <f t="shared" si="120"/>
        <v>No</v>
      </c>
      <c r="M513">
        <f t="shared" si="110"/>
        <v>0</v>
      </c>
      <c r="N513" t="s">
        <v>0</v>
      </c>
      <c r="O513" t="s">
        <v>463</v>
      </c>
      <c r="P513" t="s">
        <v>637</v>
      </c>
      <c r="Q513" t="s">
        <v>95</v>
      </c>
    </row>
    <row r="514" spans="1:17" x14ac:dyDescent="0.3">
      <c r="A514" t="s">
        <v>30</v>
      </c>
      <c r="B514" t="s">
        <v>959</v>
      </c>
      <c r="C514" t="s">
        <v>36</v>
      </c>
      <c r="D514" t="s">
        <v>962</v>
      </c>
      <c r="E514" t="s">
        <v>59</v>
      </c>
      <c r="F514" t="s">
        <v>25</v>
      </c>
      <c r="G514">
        <f t="shared" si="108"/>
        <v>1</v>
      </c>
      <c r="H514" t="s">
        <v>59</v>
      </c>
      <c r="I514" t="s">
        <v>25</v>
      </c>
      <c r="J514" t="str">
        <f t="shared" si="119"/>
        <v>Yes</v>
      </c>
      <c r="K514">
        <f t="shared" si="109"/>
        <v>1</v>
      </c>
      <c r="L514" t="str">
        <f t="shared" si="120"/>
        <v>Yes</v>
      </c>
      <c r="M514">
        <f t="shared" si="110"/>
        <v>1</v>
      </c>
      <c r="N514" t="s">
        <v>0</v>
      </c>
      <c r="O514" t="s">
        <v>463</v>
      </c>
      <c r="P514" t="s">
        <v>637</v>
      </c>
      <c r="Q514" t="s">
        <v>95</v>
      </c>
    </row>
    <row r="515" spans="1:17" x14ac:dyDescent="0.3">
      <c r="A515" t="s">
        <v>30</v>
      </c>
      <c r="B515" t="s">
        <v>959</v>
      </c>
      <c r="C515" t="s">
        <v>38</v>
      </c>
      <c r="D515" t="s">
        <v>963</v>
      </c>
      <c r="E515" t="s">
        <v>10</v>
      </c>
      <c r="F515" t="s">
        <v>10</v>
      </c>
      <c r="G515">
        <f t="shared" ref="G515:G565" si="121">IF(F515="R",0,(IF(F515="CS",1,"HELP")))</f>
        <v>0</v>
      </c>
      <c r="H515" t="s">
        <v>10</v>
      </c>
      <c r="I515" t="str">
        <f t="shared" si="118"/>
        <v>R</v>
      </c>
      <c r="J515" t="str">
        <f t="shared" si="119"/>
        <v>Yes</v>
      </c>
      <c r="K515">
        <f t="shared" ref="K515:K565" si="122">IF(J515="Yes", 1, 0)</f>
        <v>1</v>
      </c>
      <c r="L515" t="str">
        <f t="shared" si="120"/>
        <v>Yes</v>
      </c>
      <c r="M515">
        <f t="shared" ref="M515:M565" si="123">IF(L515="Yes", 1, 0)</f>
        <v>1</v>
      </c>
      <c r="N515" t="s">
        <v>0</v>
      </c>
      <c r="O515" t="s">
        <v>463</v>
      </c>
      <c r="P515" t="s">
        <v>637</v>
      </c>
      <c r="Q515" t="s">
        <v>95</v>
      </c>
    </row>
    <row r="516" spans="1:17" x14ac:dyDescent="0.3">
      <c r="A516" t="s">
        <v>40</v>
      </c>
      <c r="B516" t="s">
        <v>964</v>
      </c>
      <c r="C516" t="s">
        <v>42</v>
      </c>
      <c r="D516" t="s">
        <v>965</v>
      </c>
      <c r="E516" t="s">
        <v>59</v>
      </c>
      <c r="F516" t="s">
        <v>25</v>
      </c>
      <c r="G516">
        <f t="shared" si="121"/>
        <v>1</v>
      </c>
      <c r="H516" t="s">
        <v>10</v>
      </c>
      <c r="I516" t="str">
        <f t="shared" si="118"/>
        <v>R</v>
      </c>
      <c r="J516" t="str">
        <f t="shared" si="119"/>
        <v>No</v>
      </c>
      <c r="K516">
        <f t="shared" si="122"/>
        <v>0</v>
      </c>
      <c r="L516" t="str">
        <f t="shared" si="120"/>
        <v>No</v>
      </c>
      <c r="M516">
        <f t="shared" si="123"/>
        <v>0</v>
      </c>
      <c r="N516" t="s">
        <v>0</v>
      </c>
      <c r="O516" t="s">
        <v>463</v>
      </c>
      <c r="P516" t="s">
        <v>637</v>
      </c>
      <c r="Q516" t="s">
        <v>95</v>
      </c>
    </row>
    <row r="517" spans="1:17" x14ac:dyDescent="0.3">
      <c r="A517" t="s">
        <v>40</v>
      </c>
      <c r="B517" t="s">
        <v>964</v>
      </c>
      <c r="C517" t="s">
        <v>45</v>
      </c>
      <c r="D517" t="s">
        <v>966</v>
      </c>
      <c r="E517" t="s">
        <v>10</v>
      </c>
      <c r="F517" t="s">
        <v>10</v>
      </c>
      <c r="G517">
        <f t="shared" si="121"/>
        <v>0</v>
      </c>
      <c r="H517" t="s">
        <v>10</v>
      </c>
      <c r="I517" t="str">
        <f t="shared" si="118"/>
        <v>R</v>
      </c>
      <c r="J517" t="str">
        <f t="shared" si="119"/>
        <v>Yes</v>
      </c>
      <c r="K517">
        <f t="shared" si="122"/>
        <v>1</v>
      </c>
      <c r="L517" t="str">
        <f t="shared" si="120"/>
        <v>Yes</v>
      </c>
      <c r="M517">
        <f t="shared" si="123"/>
        <v>1</v>
      </c>
      <c r="N517" t="s">
        <v>0</v>
      </c>
      <c r="O517" t="s">
        <v>463</v>
      </c>
      <c r="P517" t="s">
        <v>637</v>
      </c>
      <c r="Q517" t="s">
        <v>95</v>
      </c>
    </row>
    <row r="518" spans="1:17" x14ac:dyDescent="0.3">
      <c r="A518" t="s">
        <v>40</v>
      </c>
      <c r="B518" t="s">
        <v>964</v>
      </c>
      <c r="C518" t="s">
        <v>47</v>
      </c>
      <c r="D518" t="s">
        <v>967</v>
      </c>
      <c r="E518" t="s">
        <v>10</v>
      </c>
      <c r="F518" t="s">
        <v>10</v>
      </c>
      <c r="G518">
        <f t="shared" si="121"/>
        <v>0</v>
      </c>
      <c r="H518" t="s">
        <v>10</v>
      </c>
      <c r="I518" t="str">
        <f t="shared" si="118"/>
        <v>R</v>
      </c>
      <c r="J518" t="str">
        <f t="shared" si="119"/>
        <v>Yes</v>
      </c>
      <c r="K518">
        <f t="shared" si="122"/>
        <v>1</v>
      </c>
      <c r="L518" t="str">
        <f t="shared" si="120"/>
        <v>Yes</v>
      </c>
      <c r="M518">
        <f t="shared" si="123"/>
        <v>1</v>
      </c>
      <c r="N518" t="s">
        <v>0</v>
      </c>
      <c r="O518" t="s">
        <v>463</v>
      </c>
      <c r="P518" t="s">
        <v>637</v>
      </c>
      <c r="Q518" t="s">
        <v>95</v>
      </c>
    </row>
    <row r="519" spans="1:17" x14ac:dyDescent="0.3">
      <c r="A519" t="s">
        <v>40</v>
      </c>
      <c r="B519" t="s">
        <v>964</v>
      </c>
      <c r="C519" t="s">
        <v>49</v>
      </c>
      <c r="D519" t="s">
        <v>968</v>
      </c>
      <c r="E519" t="s">
        <v>172</v>
      </c>
      <c r="F519" t="s">
        <v>25</v>
      </c>
      <c r="G519">
        <f t="shared" si="121"/>
        <v>1</v>
      </c>
      <c r="H519" t="s">
        <v>59</v>
      </c>
      <c r="I519" t="s">
        <v>25</v>
      </c>
      <c r="J519" t="str">
        <f t="shared" si="119"/>
        <v>Yes</v>
      </c>
      <c r="K519">
        <f t="shared" si="122"/>
        <v>1</v>
      </c>
      <c r="L519" t="str">
        <f t="shared" si="120"/>
        <v>No</v>
      </c>
      <c r="M519">
        <f t="shared" si="123"/>
        <v>0</v>
      </c>
      <c r="N519" t="s">
        <v>0</v>
      </c>
      <c r="O519" t="s">
        <v>463</v>
      </c>
      <c r="P519" t="s">
        <v>637</v>
      </c>
      <c r="Q519" t="s">
        <v>95</v>
      </c>
    </row>
    <row r="520" spans="1:17" x14ac:dyDescent="0.3">
      <c r="A520" t="s">
        <v>51</v>
      </c>
      <c r="B520" t="s">
        <v>969</v>
      </c>
      <c r="C520" t="s">
        <v>53</v>
      </c>
      <c r="D520" t="s">
        <v>970</v>
      </c>
      <c r="E520" t="s">
        <v>59</v>
      </c>
      <c r="F520" t="s">
        <v>25</v>
      </c>
      <c r="G520">
        <f t="shared" si="121"/>
        <v>1</v>
      </c>
      <c r="H520" t="s">
        <v>10</v>
      </c>
      <c r="I520" t="str">
        <f t="shared" si="118"/>
        <v>R</v>
      </c>
      <c r="J520" t="str">
        <f t="shared" si="119"/>
        <v>No</v>
      </c>
      <c r="K520">
        <f t="shared" si="122"/>
        <v>0</v>
      </c>
      <c r="L520" t="str">
        <f t="shared" si="120"/>
        <v>No</v>
      </c>
      <c r="M520">
        <f t="shared" si="123"/>
        <v>0</v>
      </c>
      <c r="N520" t="s">
        <v>0</v>
      </c>
      <c r="O520" t="s">
        <v>463</v>
      </c>
      <c r="P520" t="s">
        <v>637</v>
      </c>
      <c r="Q520" t="s">
        <v>95</v>
      </c>
    </row>
    <row r="521" spans="1:17" x14ac:dyDescent="0.3">
      <c r="A521" t="s">
        <v>51</v>
      </c>
      <c r="B521" t="s">
        <v>969</v>
      </c>
      <c r="C521" t="s">
        <v>55</v>
      </c>
      <c r="D521" t="s">
        <v>971</v>
      </c>
      <c r="E521" t="s">
        <v>10</v>
      </c>
      <c r="F521" t="s">
        <v>10</v>
      </c>
      <c r="G521">
        <f t="shared" si="121"/>
        <v>0</v>
      </c>
      <c r="H521" t="s">
        <v>10</v>
      </c>
      <c r="I521" t="str">
        <f t="shared" si="118"/>
        <v>R</v>
      </c>
      <c r="J521" t="str">
        <f t="shared" si="119"/>
        <v>Yes</v>
      </c>
      <c r="K521">
        <f t="shared" si="122"/>
        <v>1</v>
      </c>
      <c r="L521" t="str">
        <f t="shared" si="120"/>
        <v>Yes</v>
      </c>
      <c r="M521">
        <f t="shared" si="123"/>
        <v>1</v>
      </c>
      <c r="N521" t="s">
        <v>0</v>
      </c>
      <c r="O521" t="s">
        <v>463</v>
      </c>
      <c r="P521" t="s">
        <v>637</v>
      </c>
      <c r="Q521" t="s">
        <v>95</v>
      </c>
    </row>
    <row r="522" spans="1:17" x14ac:dyDescent="0.3">
      <c r="A522" t="s">
        <v>51</v>
      </c>
      <c r="B522" t="s">
        <v>969</v>
      </c>
      <c r="C522" t="s">
        <v>57</v>
      </c>
      <c r="D522" t="s">
        <v>972</v>
      </c>
      <c r="E522" t="s">
        <v>10</v>
      </c>
      <c r="F522" t="s">
        <v>10</v>
      </c>
      <c r="G522">
        <f t="shared" si="121"/>
        <v>0</v>
      </c>
      <c r="H522" t="s">
        <v>10</v>
      </c>
      <c r="I522" t="str">
        <f t="shared" si="118"/>
        <v>R</v>
      </c>
      <c r="J522" t="str">
        <f t="shared" si="119"/>
        <v>Yes</v>
      </c>
      <c r="K522">
        <f t="shared" si="122"/>
        <v>1</v>
      </c>
      <c r="L522" t="str">
        <f t="shared" si="120"/>
        <v>Yes</v>
      </c>
      <c r="M522">
        <f t="shared" si="123"/>
        <v>1</v>
      </c>
      <c r="N522" t="s">
        <v>0</v>
      </c>
      <c r="O522" t="s">
        <v>463</v>
      </c>
      <c r="P522" t="s">
        <v>637</v>
      </c>
      <c r="Q522" t="s">
        <v>95</v>
      </c>
    </row>
    <row r="523" spans="1:17" x14ac:dyDescent="0.3">
      <c r="A523" t="s">
        <v>60</v>
      </c>
      <c r="B523" t="s">
        <v>973</v>
      </c>
      <c r="C523" t="s">
        <v>62</v>
      </c>
      <c r="D523" t="s">
        <v>974</v>
      </c>
      <c r="E523" t="s">
        <v>59</v>
      </c>
      <c r="F523" t="s">
        <v>25</v>
      </c>
      <c r="G523">
        <f t="shared" si="121"/>
        <v>1</v>
      </c>
      <c r="H523" t="s">
        <v>10</v>
      </c>
      <c r="I523" t="str">
        <f t="shared" si="118"/>
        <v>R</v>
      </c>
      <c r="J523" t="str">
        <f t="shared" si="119"/>
        <v>No</v>
      </c>
      <c r="K523">
        <f t="shared" si="122"/>
        <v>0</v>
      </c>
      <c r="L523" t="str">
        <f t="shared" si="120"/>
        <v>No</v>
      </c>
      <c r="M523">
        <f t="shared" si="123"/>
        <v>0</v>
      </c>
      <c r="N523" t="s">
        <v>0</v>
      </c>
      <c r="O523" t="s">
        <v>463</v>
      </c>
      <c r="P523" t="s">
        <v>637</v>
      </c>
      <c r="Q523" t="s">
        <v>95</v>
      </c>
    </row>
    <row r="524" spans="1:17" x14ac:dyDescent="0.3">
      <c r="A524" t="s">
        <v>60</v>
      </c>
      <c r="B524" t="s">
        <v>973</v>
      </c>
      <c r="C524" t="s">
        <v>64</v>
      </c>
      <c r="D524" t="s">
        <v>975</v>
      </c>
      <c r="E524" t="s">
        <v>59</v>
      </c>
      <c r="F524" t="s">
        <v>25</v>
      </c>
      <c r="G524">
        <f t="shared" si="121"/>
        <v>1</v>
      </c>
      <c r="H524" t="s">
        <v>10</v>
      </c>
      <c r="I524" t="str">
        <f t="shared" si="118"/>
        <v>R</v>
      </c>
      <c r="J524" t="str">
        <f t="shared" si="119"/>
        <v>No</v>
      </c>
      <c r="K524">
        <f t="shared" si="122"/>
        <v>0</v>
      </c>
      <c r="L524" t="str">
        <f t="shared" si="120"/>
        <v>No</v>
      </c>
      <c r="M524">
        <f t="shared" si="123"/>
        <v>0</v>
      </c>
      <c r="N524" t="s">
        <v>0</v>
      </c>
      <c r="O524" t="s">
        <v>463</v>
      </c>
      <c r="P524" t="s">
        <v>637</v>
      </c>
      <c r="Q524" t="s">
        <v>95</v>
      </c>
    </row>
    <row r="525" spans="1:17" x14ac:dyDescent="0.3">
      <c r="A525" t="s">
        <v>60</v>
      </c>
      <c r="B525" t="s">
        <v>973</v>
      </c>
      <c r="C525" t="s">
        <v>66</v>
      </c>
      <c r="D525" t="s">
        <v>976</v>
      </c>
      <c r="E525" t="s">
        <v>10</v>
      </c>
      <c r="F525" t="s">
        <v>10</v>
      </c>
      <c r="G525">
        <f t="shared" si="121"/>
        <v>0</v>
      </c>
      <c r="H525" t="s">
        <v>10</v>
      </c>
      <c r="I525" t="str">
        <f t="shared" si="118"/>
        <v>R</v>
      </c>
      <c r="J525" t="str">
        <f t="shared" si="119"/>
        <v>Yes</v>
      </c>
      <c r="K525">
        <f t="shared" si="122"/>
        <v>1</v>
      </c>
      <c r="L525" t="str">
        <f t="shared" si="120"/>
        <v>Yes</v>
      </c>
      <c r="M525">
        <f t="shared" si="123"/>
        <v>1</v>
      </c>
      <c r="N525" t="s">
        <v>0</v>
      </c>
      <c r="O525" t="s">
        <v>463</v>
      </c>
      <c r="P525" t="s">
        <v>637</v>
      </c>
      <c r="Q525" t="s">
        <v>95</v>
      </c>
    </row>
    <row r="526" spans="1:17" x14ac:dyDescent="0.3">
      <c r="A526" t="s">
        <v>8</v>
      </c>
      <c r="B526" t="s">
        <v>979</v>
      </c>
      <c r="C526" t="s">
        <v>8</v>
      </c>
      <c r="D526" t="s">
        <v>980</v>
      </c>
      <c r="E526" t="s">
        <v>10</v>
      </c>
      <c r="F526" t="str">
        <f>IF(E526="R", "R")</f>
        <v>R</v>
      </c>
      <c r="G526">
        <f t="shared" si="121"/>
        <v>0</v>
      </c>
      <c r="H526" t="s">
        <v>10</v>
      </c>
      <c r="I526" t="str">
        <f>IF(H526="R", "R")</f>
        <v>R</v>
      </c>
      <c r="J526" t="str">
        <f>IF(I526=F526, "Yes", "No")</f>
        <v>Yes</v>
      </c>
      <c r="K526">
        <f t="shared" si="122"/>
        <v>1</v>
      </c>
      <c r="L526" t="str">
        <f>IF(E526=H526, "Yes", "No")</f>
        <v>Yes</v>
      </c>
      <c r="M526">
        <f t="shared" si="123"/>
        <v>1</v>
      </c>
      <c r="N526" t="s">
        <v>0</v>
      </c>
      <c r="O526" t="s">
        <v>463</v>
      </c>
      <c r="P526" t="s">
        <v>637</v>
      </c>
      <c r="Q526" t="s">
        <v>3</v>
      </c>
    </row>
    <row r="527" spans="1:17" x14ac:dyDescent="0.3">
      <c r="A527" t="s">
        <v>11</v>
      </c>
      <c r="B527" t="s">
        <v>950</v>
      </c>
      <c r="C527" t="s">
        <v>13</v>
      </c>
      <c r="D527" t="s">
        <v>981</v>
      </c>
      <c r="E527" t="s">
        <v>10</v>
      </c>
      <c r="F527" t="str">
        <f t="shared" ref="F527:F545" si="124">IF(E527="R", "R")</f>
        <v>R</v>
      </c>
      <c r="G527">
        <f t="shared" si="121"/>
        <v>0</v>
      </c>
      <c r="H527" t="s">
        <v>10</v>
      </c>
      <c r="I527" t="str">
        <f t="shared" ref="I527:I545" si="125">IF(H527="R", "R")</f>
        <v>R</v>
      </c>
      <c r="J527" t="str">
        <f t="shared" ref="J527:J545" si="126">IF(I527=F527, "Yes", "No")</f>
        <v>Yes</v>
      </c>
      <c r="K527">
        <f t="shared" si="122"/>
        <v>1</v>
      </c>
      <c r="L527" t="str">
        <f t="shared" ref="L527:L565" si="127">IF(E527=H527, "Yes", "No")</f>
        <v>Yes</v>
      </c>
      <c r="M527">
        <f t="shared" si="123"/>
        <v>1</v>
      </c>
      <c r="N527" t="s">
        <v>0</v>
      </c>
      <c r="O527" t="s">
        <v>463</v>
      </c>
      <c r="P527" t="s">
        <v>637</v>
      </c>
      <c r="Q527" t="s">
        <v>3</v>
      </c>
    </row>
    <row r="528" spans="1:17" x14ac:dyDescent="0.3">
      <c r="A528" t="s">
        <v>15</v>
      </c>
      <c r="B528" t="s">
        <v>982</v>
      </c>
      <c r="C528" t="s">
        <v>17</v>
      </c>
      <c r="D528" t="s">
        <v>983</v>
      </c>
      <c r="E528" t="s">
        <v>10</v>
      </c>
      <c r="F528" t="str">
        <f t="shared" si="124"/>
        <v>R</v>
      </c>
      <c r="G528">
        <f t="shared" si="121"/>
        <v>0</v>
      </c>
      <c r="H528" t="s">
        <v>10</v>
      </c>
      <c r="I528" t="str">
        <f t="shared" si="125"/>
        <v>R</v>
      </c>
      <c r="J528" t="str">
        <f t="shared" si="126"/>
        <v>Yes</v>
      </c>
      <c r="K528">
        <f t="shared" si="122"/>
        <v>1</v>
      </c>
      <c r="L528" t="str">
        <f t="shared" si="127"/>
        <v>Yes</v>
      </c>
      <c r="M528">
        <f t="shared" si="123"/>
        <v>1</v>
      </c>
      <c r="N528" t="s">
        <v>0</v>
      </c>
      <c r="O528" t="s">
        <v>463</v>
      </c>
      <c r="P528" t="s">
        <v>637</v>
      </c>
      <c r="Q528" t="s">
        <v>3</v>
      </c>
    </row>
    <row r="529" spans="1:17" x14ac:dyDescent="0.3">
      <c r="A529" t="s">
        <v>15</v>
      </c>
      <c r="B529" t="s">
        <v>982</v>
      </c>
      <c r="C529" t="s">
        <v>19</v>
      </c>
      <c r="D529" t="s">
        <v>984</v>
      </c>
      <c r="E529" t="s">
        <v>172</v>
      </c>
      <c r="F529" t="s">
        <v>25</v>
      </c>
      <c r="G529">
        <f t="shared" si="121"/>
        <v>1</v>
      </c>
      <c r="H529" t="s">
        <v>172</v>
      </c>
      <c r="I529" t="s">
        <v>25</v>
      </c>
      <c r="J529" t="str">
        <f t="shared" si="126"/>
        <v>Yes</v>
      </c>
      <c r="K529">
        <f t="shared" si="122"/>
        <v>1</v>
      </c>
      <c r="L529" t="str">
        <f t="shared" si="127"/>
        <v>Yes</v>
      </c>
      <c r="M529">
        <f t="shared" si="123"/>
        <v>1</v>
      </c>
      <c r="N529" t="s">
        <v>0</v>
      </c>
      <c r="O529" t="s">
        <v>463</v>
      </c>
      <c r="P529" t="s">
        <v>637</v>
      </c>
      <c r="Q529" t="s">
        <v>3</v>
      </c>
    </row>
    <row r="530" spans="1:17" x14ac:dyDescent="0.3">
      <c r="A530" t="s">
        <v>21</v>
      </c>
      <c r="B530" t="s">
        <v>985</v>
      </c>
      <c r="C530" t="s">
        <v>23</v>
      </c>
      <c r="D530" t="s">
        <v>986</v>
      </c>
      <c r="E530" t="s">
        <v>44</v>
      </c>
      <c r="F530" t="s">
        <v>25</v>
      </c>
      <c r="G530">
        <f t="shared" si="121"/>
        <v>1</v>
      </c>
      <c r="H530" t="s">
        <v>59</v>
      </c>
      <c r="I530" t="s">
        <v>25</v>
      </c>
      <c r="J530" t="str">
        <f t="shared" si="126"/>
        <v>Yes</v>
      </c>
      <c r="K530">
        <f t="shared" si="122"/>
        <v>1</v>
      </c>
      <c r="L530" t="str">
        <f t="shared" si="127"/>
        <v>No</v>
      </c>
      <c r="M530">
        <f t="shared" si="123"/>
        <v>0</v>
      </c>
      <c r="N530" t="s">
        <v>0</v>
      </c>
      <c r="O530" t="s">
        <v>463</v>
      </c>
      <c r="P530" t="s">
        <v>637</v>
      </c>
      <c r="Q530" t="s">
        <v>3</v>
      </c>
    </row>
    <row r="531" spans="1:17" x14ac:dyDescent="0.3">
      <c r="A531" t="s">
        <v>26</v>
      </c>
      <c r="B531" t="s">
        <v>987</v>
      </c>
      <c r="C531" t="s">
        <v>28</v>
      </c>
      <c r="D531" t="s">
        <v>958</v>
      </c>
      <c r="E531" t="s">
        <v>59</v>
      </c>
      <c r="F531" t="s">
        <v>25</v>
      </c>
      <c r="G531">
        <f t="shared" si="121"/>
        <v>1</v>
      </c>
      <c r="H531" t="s">
        <v>10</v>
      </c>
      <c r="I531" t="str">
        <f t="shared" si="125"/>
        <v>R</v>
      </c>
      <c r="J531" t="str">
        <f t="shared" si="126"/>
        <v>No</v>
      </c>
      <c r="K531">
        <f t="shared" si="122"/>
        <v>0</v>
      </c>
      <c r="L531" t="str">
        <f t="shared" si="127"/>
        <v>No</v>
      </c>
      <c r="M531">
        <f t="shared" si="123"/>
        <v>0</v>
      </c>
      <c r="N531" t="s">
        <v>0</v>
      </c>
      <c r="O531" t="s">
        <v>463</v>
      </c>
      <c r="P531" t="s">
        <v>637</v>
      </c>
      <c r="Q531" t="s">
        <v>3</v>
      </c>
    </row>
    <row r="532" spans="1:17" x14ac:dyDescent="0.3">
      <c r="A532" t="s">
        <v>30</v>
      </c>
      <c r="B532" t="s">
        <v>988</v>
      </c>
      <c r="C532" t="s">
        <v>32</v>
      </c>
      <c r="D532" t="s">
        <v>989</v>
      </c>
      <c r="E532" t="s">
        <v>10</v>
      </c>
      <c r="F532" t="str">
        <f t="shared" si="124"/>
        <v>R</v>
      </c>
      <c r="G532">
        <f t="shared" si="121"/>
        <v>0</v>
      </c>
      <c r="H532" t="s">
        <v>10</v>
      </c>
      <c r="I532" t="str">
        <f t="shared" si="125"/>
        <v>R</v>
      </c>
      <c r="J532" t="str">
        <f t="shared" si="126"/>
        <v>Yes</v>
      </c>
      <c r="K532">
        <f t="shared" si="122"/>
        <v>1</v>
      </c>
      <c r="L532" t="str">
        <f t="shared" si="127"/>
        <v>Yes</v>
      </c>
      <c r="M532">
        <f t="shared" si="123"/>
        <v>1</v>
      </c>
      <c r="N532" t="s">
        <v>0</v>
      </c>
      <c r="O532" t="s">
        <v>463</v>
      </c>
      <c r="P532" t="s">
        <v>637</v>
      </c>
      <c r="Q532" t="s">
        <v>3</v>
      </c>
    </row>
    <row r="533" spans="1:17" x14ac:dyDescent="0.3">
      <c r="A533" t="s">
        <v>30</v>
      </c>
      <c r="B533" t="s">
        <v>988</v>
      </c>
      <c r="C533" t="s">
        <v>34</v>
      </c>
      <c r="D533" t="s">
        <v>990</v>
      </c>
      <c r="E533" t="s">
        <v>10</v>
      </c>
      <c r="F533" t="str">
        <f t="shared" si="124"/>
        <v>R</v>
      </c>
      <c r="G533">
        <f t="shared" si="121"/>
        <v>0</v>
      </c>
      <c r="H533" t="s">
        <v>144</v>
      </c>
      <c r="I533" t="s">
        <v>144</v>
      </c>
      <c r="J533" t="str">
        <f t="shared" si="126"/>
        <v>No</v>
      </c>
      <c r="K533">
        <f t="shared" si="122"/>
        <v>0</v>
      </c>
      <c r="L533" t="str">
        <f t="shared" si="127"/>
        <v>No</v>
      </c>
      <c r="M533">
        <f t="shared" si="123"/>
        <v>0</v>
      </c>
      <c r="N533" t="s">
        <v>0</v>
      </c>
      <c r="O533" t="s">
        <v>463</v>
      </c>
      <c r="P533" t="s">
        <v>637</v>
      </c>
      <c r="Q533" t="s">
        <v>3</v>
      </c>
    </row>
    <row r="534" spans="1:17" x14ac:dyDescent="0.3">
      <c r="A534" t="s">
        <v>30</v>
      </c>
      <c r="B534" t="s">
        <v>988</v>
      </c>
      <c r="C534" t="s">
        <v>36</v>
      </c>
      <c r="D534" t="s">
        <v>991</v>
      </c>
      <c r="E534" t="s">
        <v>10</v>
      </c>
      <c r="F534" t="str">
        <f t="shared" si="124"/>
        <v>R</v>
      </c>
      <c r="G534">
        <f t="shared" si="121"/>
        <v>0</v>
      </c>
      <c r="H534" t="s">
        <v>59</v>
      </c>
      <c r="I534" t="s">
        <v>25</v>
      </c>
      <c r="J534" t="str">
        <f t="shared" si="126"/>
        <v>No</v>
      </c>
      <c r="K534">
        <f t="shared" si="122"/>
        <v>0</v>
      </c>
      <c r="L534" t="str">
        <f t="shared" si="127"/>
        <v>No</v>
      </c>
      <c r="M534">
        <f t="shared" si="123"/>
        <v>0</v>
      </c>
      <c r="N534" t="s">
        <v>0</v>
      </c>
      <c r="O534" t="s">
        <v>463</v>
      </c>
      <c r="P534" t="s">
        <v>637</v>
      </c>
      <c r="Q534" t="s">
        <v>3</v>
      </c>
    </row>
    <row r="535" spans="1:17" x14ac:dyDescent="0.3">
      <c r="A535" t="s">
        <v>30</v>
      </c>
      <c r="B535" t="s">
        <v>988</v>
      </c>
      <c r="C535" t="s">
        <v>38</v>
      </c>
      <c r="D535" t="s">
        <v>992</v>
      </c>
      <c r="E535" t="s">
        <v>10</v>
      </c>
      <c r="F535" t="str">
        <f t="shared" si="124"/>
        <v>R</v>
      </c>
      <c r="G535">
        <f t="shared" si="121"/>
        <v>0</v>
      </c>
      <c r="H535" t="s">
        <v>144</v>
      </c>
      <c r="I535" t="s">
        <v>144</v>
      </c>
      <c r="J535" t="str">
        <f t="shared" si="126"/>
        <v>No</v>
      </c>
      <c r="K535">
        <f t="shared" si="122"/>
        <v>0</v>
      </c>
      <c r="L535" t="str">
        <f t="shared" si="127"/>
        <v>No</v>
      </c>
      <c r="M535">
        <f t="shared" si="123"/>
        <v>0</v>
      </c>
      <c r="N535" t="s">
        <v>0</v>
      </c>
      <c r="O535" t="s">
        <v>463</v>
      </c>
      <c r="P535" t="s">
        <v>637</v>
      </c>
      <c r="Q535" t="s">
        <v>3</v>
      </c>
    </row>
    <row r="536" spans="1:17" x14ac:dyDescent="0.3">
      <c r="A536" t="s">
        <v>40</v>
      </c>
      <c r="B536" t="s">
        <v>993</v>
      </c>
      <c r="C536" t="s">
        <v>42</v>
      </c>
      <c r="D536" t="s">
        <v>994</v>
      </c>
      <c r="E536" t="s">
        <v>10</v>
      </c>
      <c r="F536" t="str">
        <f t="shared" si="124"/>
        <v>R</v>
      </c>
      <c r="G536">
        <f t="shared" si="121"/>
        <v>0</v>
      </c>
      <c r="H536" t="s">
        <v>25</v>
      </c>
      <c r="I536" t="s">
        <v>25</v>
      </c>
      <c r="J536" t="str">
        <f t="shared" si="126"/>
        <v>No</v>
      </c>
      <c r="K536">
        <f t="shared" si="122"/>
        <v>0</v>
      </c>
      <c r="L536" t="str">
        <f t="shared" si="127"/>
        <v>No</v>
      </c>
      <c r="M536">
        <f t="shared" si="123"/>
        <v>0</v>
      </c>
      <c r="N536" t="s">
        <v>0</v>
      </c>
      <c r="O536" t="s">
        <v>463</v>
      </c>
      <c r="P536" t="s">
        <v>637</v>
      </c>
      <c r="Q536" t="s">
        <v>3</v>
      </c>
    </row>
    <row r="537" spans="1:17" x14ac:dyDescent="0.3">
      <c r="A537" t="s">
        <v>40</v>
      </c>
      <c r="B537" t="s">
        <v>993</v>
      </c>
      <c r="C537" t="s">
        <v>45</v>
      </c>
      <c r="D537" t="s">
        <v>995</v>
      </c>
      <c r="E537" t="s">
        <v>10</v>
      </c>
      <c r="F537" t="str">
        <f t="shared" si="124"/>
        <v>R</v>
      </c>
      <c r="G537">
        <f t="shared" si="121"/>
        <v>0</v>
      </c>
      <c r="H537" t="s">
        <v>10</v>
      </c>
      <c r="I537" t="str">
        <f t="shared" si="125"/>
        <v>R</v>
      </c>
      <c r="J537" t="str">
        <f t="shared" si="126"/>
        <v>Yes</v>
      </c>
      <c r="K537">
        <f t="shared" si="122"/>
        <v>1</v>
      </c>
      <c r="L537" t="str">
        <f t="shared" si="127"/>
        <v>Yes</v>
      </c>
      <c r="M537">
        <f t="shared" si="123"/>
        <v>1</v>
      </c>
      <c r="N537" t="s">
        <v>0</v>
      </c>
      <c r="O537" t="s">
        <v>463</v>
      </c>
      <c r="P537" t="s">
        <v>637</v>
      </c>
      <c r="Q537" t="s">
        <v>3</v>
      </c>
    </row>
    <row r="538" spans="1:17" x14ac:dyDescent="0.3">
      <c r="A538" t="s">
        <v>40</v>
      </c>
      <c r="B538" t="s">
        <v>993</v>
      </c>
      <c r="C538" t="s">
        <v>47</v>
      </c>
      <c r="D538" t="s">
        <v>996</v>
      </c>
      <c r="E538" t="s">
        <v>44</v>
      </c>
      <c r="F538" t="s">
        <v>25</v>
      </c>
      <c r="G538">
        <f t="shared" si="121"/>
        <v>1</v>
      </c>
      <c r="H538" t="s">
        <v>10</v>
      </c>
      <c r="I538" t="str">
        <f t="shared" si="125"/>
        <v>R</v>
      </c>
      <c r="J538" t="str">
        <f t="shared" si="126"/>
        <v>No</v>
      </c>
      <c r="K538">
        <f t="shared" si="122"/>
        <v>0</v>
      </c>
      <c r="L538" t="str">
        <f t="shared" si="127"/>
        <v>No</v>
      </c>
      <c r="M538">
        <f t="shared" si="123"/>
        <v>0</v>
      </c>
      <c r="N538" t="s">
        <v>0</v>
      </c>
      <c r="O538" t="s">
        <v>463</v>
      </c>
      <c r="P538" t="s">
        <v>637</v>
      </c>
      <c r="Q538" t="s">
        <v>3</v>
      </c>
    </row>
    <row r="539" spans="1:17" x14ac:dyDescent="0.3">
      <c r="A539" t="s">
        <v>40</v>
      </c>
      <c r="B539" t="s">
        <v>993</v>
      </c>
      <c r="C539" t="s">
        <v>49</v>
      </c>
      <c r="D539" t="s">
        <v>997</v>
      </c>
      <c r="E539" t="s">
        <v>10</v>
      </c>
      <c r="F539" t="str">
        <f t="shared" si="124"/>
        <v>R</v>
      </c>
      <c r="G539">
        <f t="shared" si="121"/>
        <v>0</v>
      </c>
      <c r="H539" t="s">
        <v>10</v>
      </c>
      <c r="I539" t="str">
        <f t="shared" si="125"/>
        <v>R</v>
      </c>
      <c r="J539" t="str">
        <f t="shared" si="126"/>
        <v>Yes</v>
      </c>
      <c r="K539">
        <f t="shared" si="122"/>
        <v>1</v>
      </c>
      <c r="L539" t="str">
        <f t="shared" si="127"/>
        <v>Yes</v>
      </c>
      <c r="M539">
        <f t="shared" si="123"/>
        <v>1</v>
      </c>
      <c r="N539" t="s">
        <v>0</v>
      </c>
      <c r="O539" t="s">
        <v>463</v>
      </c>
      <c r="P539" t="s">
        <v>637</v>
      </c>
      <c r="Q539" t="s">
        <v>3</v>
      </c>
    </row>
    <row r="540" spans="1:17" x14ac:dyDescent="0.3">
      <c r="A540" t="s">
        <v>51</v>
      </c>
      <c r="B540" t="s">
        <v>998</v>
      </c>
      <c r="C540" t="s">
        <v>53</v>
      </c>
      <c r="D540" t="s">
        <v>999</v>
      </c>
      <c r="E540" t="s">
        <v>10</v>
      </c>
      <c r="F540" t="str">
        <f t="shared" si="124"/>
        <v>R</v>
      </c>
      <c r="G540">
        <f t="shared" si="121"/>
        <v>0</v>
      </c>
      <c r="H540" t="s">
        <v>10</v>
      </c>
      <c r="I540" t="str">
        <f t="shared" si="125"/>
        <v>R</v>
      </c>
      <c r="J540" t="str">
        <f t="shared" si="126"/>
        <v>Yes</v>
      </c>
      <c r="K540">
        <f t="shared" si="122"/>
        <v>1</v>
      </c>
      <c r="L540" t="str">
        <f t="shared" si="127"/>
        <v>Yes</v>
      </c>
      <c r="M540">
        <f t="shared" si="123"/>
        <v>1</v>
      </c>
      <c r="N540" t="s">
        <v>0</v>
      </c>
      <c r="O540" t="s">
        <v>463</v>
      </c>
      <c r="P540" t="s">
        <v>637</v>
      </c>
      <c r="Q540" t="s">
        <v>3</v>
      </c>
    </row>
    <row r="541" spans="1:17" x14ac:dyDescent="0.3">
      <c r="A541" t="s">
        <v>51</v>
      </c>
      <c r="B541" t="s">
        <v>998</v>
      </c>
      <c r="C541" t="s">
        <v>55</v>
      </c>
      <c r="D541" t="s">
        <v>971</v>
      </c>
      <c r="E541" t="s">
        <v>10</v>
      </c>
      <c r="F541" t="str">
        <f t="shared" si="124"/>
        <v>R</v>
      </c>
      <c r="G541">
        <f t="shared" si="121"/>
        <v>0</v>
      </c>
      <c r="H541" t="s">
        <v>10</v>
      </c>
      <c r="I541" t="str">
        <f t="shared" si="125"/>
        <v>R</v>
      </c>
      <c r="J541" t="str">
        <f t="shared" si="126"/>
        <v>Yes</v>
      </c>
      <c r="K541">
        <f t="shared" si="122"/>
        <v>1</v>
      </c>
      <c r="L541" t="str">
        <f t="shared" si="127"/>
        <v>Yes</v>
      </c>
      <c r="M541">
        <f t="shared" si="123"/>
        <v>1</v>
      </c>
      <c r="N541" t="s">
        <v>0</v>
      </c>
      <c r="O541" t="s">
        <v>463</v>
      </c>
      <c r="P541" t="s">
        <v>637</v>
      </c>
      <c r="Q541" t="s">
        <v>3</v>
      </c>
    </row>
    <row r="542" spans="1:17" x14ac:dyDescent="0.3">
      <c r="A542" t="s">
        <v>51</v>
      </c>
      <c r="B542" t="s">
        <v>998</v>
      </c>
      <c r="C542" t="s">
        <v>57</v>
      </c>
      <c r="D542" t="s">
        <v>1000</v>
      </c>
      <c r="E542" t="s">
        <v>10</v>
      </c>
      <c r="F542" t="str">
        <f t="shared" si="124"/>
        <v>R</v>
      </c>
      <c r="G542">
        <f t="shared" si="121"/>
        <v>0</v>
      </c>
      <c r="H542" t="s">
        <v>10</v>
      </c>
      <c r="I542" t="str">
        <f t="shared" si="125"/>
        <v>R</v>
      </c>
      <c r="J542" t="str">
        <f t="shared" si="126"/>
        <v>Yes</v>
      </c>
      <c r="K542">
        <f t="shared" si="122"/>
        <v>1</v>
      </c>
      <c r="L542" t="str">
        <f t="shared" si="127"/>
        <v>Yes</v>
      </c>
      <c r="M542">
        <f t="shared" si="123"/>
        <v>1</v>
      </c>
      <c r="N542" t="s">
        <v>0</v>
      </c>
      <c r="O542" t="s">
        <v>463</v>
      </c>
      <c r="P542" t="s">
        <v>637</v>
      </c>
      <c r="Q542" t="s">
        <v>3</v>
      </c>
    </row>
    <row r="543" spans="1:17" x14ac:dyDescent="0.3">
      <c r="A543" t="s">
        <v>60</v>
      </c>
      <c r="B543" t="s">
        <v>1001</v>
      </c>
      <c r="C543" t="s">
        <v>62</v>
      </c>
      <c r="D543" t="s">
        <v>1002</v>
      </c>
      <c r="E543" t="s">
        <v>59</v>
      </c>
      <c r="F543" t="s">
        <v>25</v>
      </c>
      <c r="G543">
        <f t="shared" si="121"/>
        <v>1</v>
      </c>
      <c r="H543" t="s">
        <v>25</v>
      </c>
      <c r="I543" t="s">
        <v>25</v>
      </c>
      <c r="J543" t="str">
        <f t="shared" si="126"/>
        <v>Yes</v>
      </c>
      <c r="K543">
        <f t="shared" si="122"/>
        <v>1</v>
      </c>
      <c r="L543" t="str">
        <f t="shared" si="127"/>
        <v>No</v>
      </c>
      <c r="M543">
        <f t="shared" si="123"/>
        <v>0</v>
      </c>
      <c r="N543" t="s">
        <v>0</v>
      </c>
      <c r="O543" t="s">
        <v>463</v>
      </c>
      <c r="P543" t="s">
        <v>637</v>
      </c>
      <c r="Q543" t="s">
        <v>3</v>
      </c>
    </row>
    <row r="544" spans="1:17" x14ac:dyDescent="0.3">
      <c r="A544" t="s">
        <v>60</v>
      </c>
      <c r="B544" t="s">
        <v>1001</v>
      </c>
      <c r="C544" t="s">
        <v>64</v>
      </c>
      <c r="D544" t="s">
        <v>1003</v>
      </c>
      <c r="E544" t="s">
        <v>10</v>
      </c>
      <c r="F544" t="str">
        <f t="shared" si="124"/>
        <v>R</v>
      </c>
      <c r="G544">
        <f t="shared" si="121"/>
        <v>0</v>
      </c>
      <c r="H544" t="s">
        <v>10</v>
      </c>
      <c r="I544" t="str">
        <f t="shared" si="125"/>
        <v>R</v>
      </c>
      <c r="J544" t="str">
        <f t="shared" si="126"/>
        <v>Yes</v>
      </c>
      <c r="K544">
        <f t="shared" si="122"/>
        <v>1</v>
      </c>
      <c r="L544" t="str">
        <f t="shared" si="127"/>
        <v>Yes</v>
      </c>
      <c r="M544">
        <f t="shared" si="123"/>
        <v>1</v>
      </c>
      <c r="N544" t="s">
        <v>0</v>
      </c>
      <c r="O544" t="s">
        <v>463</v>
      </c>
      <c r="P544" t="s">
        <v>637</v>
      </c>
      <c r="Q544" t="s">
        <v>3</v>
      </c>
    </row>
    <row r="545" spans="1:17" x14ac:dyDescent="0.3">
      <c r="A545" t="s">
        <v>60</v>
      </c>
      <c r="B545" t="s">
        <v>1001</v>
      </c>
      <c r="C545" t="s">
        <v>66</v>
      </c>
      <c r="D545" t="s">
        <v>1004</v>
      </c>
      <c r="E545" t="s">
        <v>10</v>
      </c>
      <c r="F545" t="str">
        <f t="shared" si="124"/>
        <v>R</v>
      </c>
      <c r="G545">
        <f t="shared" si="121"/>
        <v>0</v>
      </c>
      <c r="H545" t="s">
        <v>10</v>
      </c>
      <c r="I545" t="str">
        <f t="shared" si="125"/>
        <v>R</v>
      </c>
      <c r="J545" t="str">
        <f t="shared" si="126"/>
        <v>Yes</v>
      </c>
      <c r="K545">
        <f t="shared" si="122"/>
        <v>1</v>
      </c>
      <c r="L545" t="str">
        <f t="shared" si="127"/>
        <v>Yes</v>
      </c>
      <c r="M545">
        <f t="shared" si="123"/>
        <v>1</v>
      </c>
      <c r="N545" t="s">
        <v>0</v>
      </c>
      <c r="O545" t="s">
        <v>463</v>
      </c>
      <c r="P545" t="s">
        <v>637</v>
      </c>
      <c r="Q545" t="s">
        <v>3</v>
      </c>
    </row>
    <row r="546" spans="1:17" x14ac:dyDescent="0.3">
      <c r="A546" t="s">
        <v>8</v>
      </c>
      <c r="B546" t="s">
        <v>979</v>
      </c>
      <c r="C546" t="s">
        <v>8</v>
      </c>
      <c r="D546" t="s">
        <v>979</v>
      </c>
      <c r="E546" t="s">
        <v>10</v>
      </c>
      <c r="F546" t="str">
        <f>IF(E546="R", "R")</f>
        <v>R</v>
      </c>
      <c r="G546">
        <f t="shared" si="121"/>
        <v>0</v>
      </c>
      <c r="H546" t="s">
        <v>10</v>
      </c>
      <c r="I546" t="str">
        <f>IF(H546="R", "R")</f>
        <v>R</v>
      </c>
      <c r="J546" t="str">
        <f>IF(F546=I546, "Yes", "No")</f>
        <v>Yes</v>
      </c>
      <c r="K546">
        <f t="shared" si="122"/>
        <v>1</v>
      </c>
      <c r="L546" t="str">
        <f t="shared" si="127"/>
        <v>Yes</v>
      </c>
      <c r="M546">
        <f t="shared" si="123"/>
        <v>1</v>
      </c>
      <c r="N546" t="s">
        <v>0</v>
      </c>
      <c r="O546" t="s">
        <v>463</v>
      </c>
      <c r="P546" t="s">
        <v>637</v>
      </c>
      <c r="Q546" t="s">
        <v>74</v>
      </c>
    </row>
    <row r="547" spans="1:17" x14ac:dyDescent="0.3">
      <c r="A547" t="s">
        <v>11</v>
      </c>
      <c r="B547" t="s">
        <v>950</v>
      </c>
      <c r="C547" t="s">
        <v>13</v>
      </c>
      <c r="D547" t="s">
        <v>951</v>
      </c>
      <c r="E547" t="s">
        <v>10</v>
      </c>
      <c r="F547" t="str">
        <f t="shared" ref="F547:F565" si="128">IF(E547="R", "R")</f>
        <v>R</v>
      </c>
      <c r="G547">
        <f t="shared" si="121"/>
        <v>0</v>
      </c>
      <c r="H547" t="s">
        <v>10</v>
      </c>
      <c r="I547" t="str">
        <f t="shared" ref="I547:I565" si="129">IF(H547="R", "R")</f>
        <v>R</v>
      </c>
      <c r="J547" t="str">
        <f t="shared" ref="J547:J565" si="130">IF(F547=I547, "Yes", "No")</f>
        <v>Yes</v>
      </c>
      <c r="K547">
        <f t="shared" si="122"/>
        <v>1</v>
      </c>
      <c r="L547" t="str">
        <f t="shared" si="127"/>
        <v>Yes</v>
      </c>
      <c r="M547">
        <f t="shared" si="123"/>
        <v>1</v>
      </c>
      <c r="N547" t="s">
        <v>0</v>
      </c>
      <c r="O547" t="s">
        <v>463</v>
      </c>
      <c r="P547" t="s">
        <v>637</v>
      </c>
      <c r="Q547" t="s">
        <v>74</v>
      </c>
    </row>
    <row r="548" spans="1:17" x14ac:dyDescent="0.3">
      <c r="A548" t="s">
        <v>15</v>
      </c>
      <c r="B548" t="s">
        <v>1005</v>
      </c>
      <c r="C548" t="s">
        <v>17</v>
      </c>
      <c r="D548" t="s">
        <v>1006</v>
      </c>
      <c r="E548" t="s">
        <v>44</v>
      </c>
      <c r="F548" t="s">
        <v>25</v>
      </c>
      <c r="G548">
        <f t="shared" si="121"/>
        <v>1</v>
      </c>
      <c r="H548" t="s">
        <v>59</v>
      </c>
      <c r="I548" t="s">
        <v>25</v>
      </c>
      <c r="J548" t="str">
        <f t="shared" si="130"/>
        <v>Yes</v>
      </c>
      <c r="K548">
        <f t="shared" si="122"/>
        <v>1</v>
      </c>
      <c r="L548" t="str">
        <f t="shared" si="127"/>
        <v>No</v>
      </c>
      <c r="M548">
        <f t="shared" si="123"/>
        <v>0</v>
      </c>
      <c r="N548" t="s">
        <v>0</v>
      </c>
      <c r="O548" t="s">
        <v>463</v>
      </c>
      <c r="P548" t="s">
        <v>637</v>
      </c>
      <c r="Q548" t="s">
        <v>74</v>
      </c>
    </row>
    <row r="549" spans="1:17" x14ac:dyDescent="0.3">
      <c r="A549" t="s">
        <v>15</v>
      </c>
      <c r="B549" t="s">
        <v>1005</v>
      </c>
      <c r="C549" t="s">
        <v>19</v>
      </c>
      <c r="D549" t="s">
        <v>1007</v>
      </c>
      <c r="E549" t="s">
        <v>172</v>
      </c>
      <c r="F549" t="s">
        <v>25</v>
      </c>
      <c r="G549">
        <f t="shared" si="121"/>
        <v>1</v>
      </c>
      <c r="H549" t="s">
        <v>10</v>
      </c>
      <c r="I549" t="str">
        <f t="shared" si="129"/>
        <v>R</v>
      </c>
      <c r="J549" t="str">
        <f t="shared" si="130"/>
        <v>No</v>
      </c>
      <c r="K549">
        <f t="shared" si="122"/>
        <v>0</v>
      </c>
      <c r="L549" t="str">
        <f t="shared" si="127"/>
        <v>No</v>
      </c>
      <c r="M549">
        <f t="shared" si="123"/>
        <v>0</v>
      </c>
      <c r="N549" t="s">
        <v>0</v>
      </c>
      <c r="O549" t="s">
        <v>463</v>
      </c>
      <c r="P549" t="s">
        <v>637</v>
      </c>
      <c r="Q549" t="s">
        <v>74</v>
      </c>
    </row>
    <row r="550" spans="1:17" x14ac:dyDescent="0.3">
      <c r="A550" t="s">
        <v>21</v>
      </c>
      <c r="B550" t="s">
        <v>1008</v>
      </c>
      <c r="C550" t="s">
        <v>23</v>
      </c>
      <c r="D550" t="s">
        <v>1009</v>
      </c>
      <c r="E550" t="s">
        <v>44</v>
      </c>
      <c r="F550" t="s">
        <v>25</v>
      </c>
      <c r="G550">
        <f t="shared" si="121"/>
        <v>1</v>
      </c>
      <c r="H550" t="s">
        <v>59</v>
      </c>
      <c r="I550" t="s">
        <v>25</v>
      </c>
      <c r="J550" t="str">
        <f t="shared" si="130"/>
        <v>Yes</v>
      </c>
      <c r="K550">
        <f t="shared" si="122"/>
        <v>1</v>
      </c>
      <c r="L550" t="str">
        <f t="shared" si="127"/>
        <v>No</v>
      </c>
      <c r="M550">
        <f t="shared" si="123"/>
        <v>0</v>
      </c>
      <c r="N550" t="s">
        <v>0</v>
      </c>
      <c r="O550" t="s">
        <v>463</v>
      </c>
      <c r="P550" t="s">
        <v>637</v>
      </c>
      <c r="Q550" t="s">
        <v>74</v>
      </c>
    </row>
    <row r="551" spans="1:17" x14ac:dyDescent="0.3">
      <c r="A551" t="s">
        <v>26</v>
      </c>
      <c r="B551" t="s">
        <v>1010</v>
      </c>
      <c r="C551" t="s">
        <v>28</v>
      </c>
      <c r="D551" t="s">
        <v>1011</v>
      </c>
      <c r="E551" t="s">
        <v>10</v>
      </c>
      <c r="F551" t="str">
        <f t="shared" si="128"/>
        <v>R</v>
      </c>
      <c r="G551">
        <f t="shared" si="121"/>
        <v>0</v>
      </c>
      <c r="H551" t="s">
        <v>10</v>
      </c>
      <c r="I551" t="str">
        <f t="shared" si="129"/>
        <v>R</v>
      </c>
      <c r="J551" t="str">
        <f t="shared" si="130"/>
        <v>Yes</v>
      </c>
      <c r="K551">
        <f t="shared" si="122"/>
        <v>1</v>
      </c>
      <c r="L551" t="str">
        <f t="shared" si="127"/>
        <v>Yes</v>
      </c>
      <c r="M551">
        <f t="shared" si="123"/>
        <v>1</v>
      </c>
      <c r="N551" t="s">
        <v>0</v>
      </c>
      <c r="O551" t="s">
        <v>463</v>
      </c>
      <c r="P551" t="s">
        <v>637</v>
      </c>
      <c r="Q551" t="s">
        <v>74</v>
      </c>
    </row>
    <row r="552" spans="1:17" x14ac:dyDescent="0.3">
      <c r="A552" t="s">
        <v>30</v>
      </c>
      <c r="B552" t="s">
        <v>1012</v>
      </c>
      <c r="C552" t="s">
        <v>32</v>
      </c>
      <c r="D552" t="s">
        <v>989</v>
      </c>
      <c r="E552" t="s">
        <v>10</v>
      </c>
      <c r="F552" t="str">
        <f t="shared" si="128"/>
        <v>R</v>
      </c>
      <c r="G552">
        <f t="shared" si="121"/>
        <v>0</v>
      </c>
      <c r="H552" t="s">
        <v>10</v>
      </c>
      <c r="I552" t="str">
        <f t="shared" si="129"/>
        <v>R</v>
      </c>
      <c r="J552" t="str">
        <f t="shared" si="130"/>
        <v>Yes</v>
      </c>
      <c r="K552">
        <f t="shared" si="122"/>
        <v>1</v>
      </c>
      <c r="L552" t="str">
        <f t="shared" si="127"/>
        <v>Yes</v>
      </c>
      <c r="M552">
        <f t="shared" si="123"/>
        <v>1</v>
      </c>
      <c r="N552" t="s">
        <v>0</v>
      </c>
      <c r="O552" t="s">
        <v>463</v>
      </c>
      <c r="P552" t="s">
        <v>637</v>
      </c>
      <c r="Q552" t="s">
        <v>74</v>
      </c>
    </row>
    <row r="553" spans="1:17" x14ac:dyDescent="0.3">
      <c r="A553" t="s">
        <v>30</v>
      </c>
      <c r="B553" t="s">
        <v>1012</v>
      </c>
      <c r="C553" t="s">
        <v>34</v>
      </c>
      <c r="D553" t="s">
        <v>990</v>
      </c>
      <c r="E553" t="s">
        <v>10</v>
      </c>
      <c r="F553" t="str">
        <f t="shared" si="128"/>
        <v>R</v>
      </c>
      <c r="G553">
        <f t="shared" si="121"/>
        <v>0</v>
      </c>
      <c r="H553" t="s">
        <v>144</v>
      </c>
      <c r="I553" t="s">
        <v>1013</v>
      </c>
      <c r="J553" t="str">
        <f t="shared" si="130"/>
        <v>No</v>
      </c>
      <c r="K553">
        <f t="shared" si="122"/>
        <v>0</v>
      </c>
      <c r="L553" t="str">
        <f t="shared" si="127"/>
        <v>No</v>
      </c>
      <c r="M553">
        <f t="shared" si="123"/>
        <v>0</v>
      </c>
      <c r="N553" t="s">
        <v>0</v>
      </c>
      <c r="O553" t="s">
        <v>463</v>
      </c>
      <c r="P553" t="s">
        <v>637</v>
      </c>
      <c r="Q553" t="s">
        <v>74</v>
      </c>
    </row>
    <row r="554" spans="1:17" x14ac:dyDescent="0.3">
      <c r="A554" t="s">
        <v>30</v>
      </c>
      <c r="B554" t="s">
        <v>1012</v>
      </c>
      <c r="C554" t="s">
        <v>36</v>
      </c>
      <c r="D554" t="s">
        <v>1014</v>
      </c>
      <c r="E554" t="s">
        <v>10</v>
      </c>
      <c r="F554" t="str">
        <f t="shared" si="128"/>
        <v>R</v>
      </c>
      <c r="G554">
        <f t="shared" si="121"/>
        <v>0</v>
      </c>
      <c r="H554" t="s">
        <v>25</v>
      </c>
      <c r="I554" t="s">
        <v>25</v>
      </c>
      <c r="J554" t="str">
        <f t="shared" si="130"/>
        <v>No</v>
      </c>
      <c r="K554">
        <f t="shared" si="122"/>
        <v>0</v>
      </c>
      <c r="L554" t="str">
        <f t="shared" si="127"/>
        <v>No</v>
      </c>
      <c r="M554">
        <f t="shared" si="123"/>
        <v>0</v>
      </c>
      <c r="N554" t="s">
        <v>0</v>
      </c>
      <c r="O554" t="s">
        <v>463</v>
      </c>
      <c r="P554" t="s">
        <v>637</v>
      </c>
      <c r="Q554" t="s">
        <v>74</v>
      </c>
    </row>
    <row r="555" spans="1:17" x14ac:dyDescent="0.3">
      <c r="A555" t="s">
        <v>30</v>
      </c>
      <c r="B555" t="s">
        <v>1012</v>
      </c>
      <c r="C555" t="s">
        <v>38</v>
      </c>
      <c r="D555" t="s">
        <v>992</v>
      </c>
      <c r="E555" t="s">
        <v>10</v>
      </c>
      <c r="F555" t="str">
        <f t="shared" si="128"/>
        <v>R</v>
      </c>
      <c r="G555">
        <f t="shared" si="121"/>
        <v>0</v>
      </c>
      <c r="H555" t="s">
        <v>144</v>
      </c>
      <c r="I555" t="s">
        <v>144</v>
      </c>
      <c r="J555" t="str">
        <f t="shared" si="130"/>
        <v>No</v>
      </c>
      <c r="K555">
        <f t="shared" si="122"/>
        <v>0</v>
      </c>
      <c r="L555" t="str">
        <f t="shared" si="127"/>
        <v>No</v>
      </c>
      <c r="M555">
        <f t="shared" si="123"/>
        <v>0</v>
      </c>
      <c r="N555" t="s">
        <v>0</v>
      </c>
      <c r="O555" t="s">
        <v>463</v>
      </c>
      <c r="P555" t="s">
        <v>637</v>
      </c>
      <c r="Q555" t="s">
        <v>74</v>
      </c>
    </row>
    <row r="556" spans="1:17" x14ac:dyDescent="0.3">
      <c r="A556" t="s">
        <v>40</v>
      </c>
      <c r="B556" t="s">
        <v>1015</v>
      </c>
      <c r="C556" t="s">
        <v>42</v>
      </c>
      <c r="D556" t="s">
        <v>994</v>
      </c>
      <c r="E556" t="s">
        <v>10</v>
      </c>
      <c r="F556" t="str">
        <f t="shared" si="128"/>
        <v>R</v>
      </c>
      <c r="G556">
        <f t="shared" si="121"/>
        <v>0</v>
      </c>
      <c r="H556" t="s">
        <v>25</v>
      </c>
      <c r="I556" t="s">
        <v>25</v>
      </c>
      <c r="J556" t="str">
        <f t="shared" si="130"/>
        <v>No</v>
      </c>
      <c r="K556">
        <f t="shared" si="122"/>
        <v>0</v>
      </c>
      <c r="L556" t="str">
        <f t="shared" si="127"/>
        <v>No</v>
      </c>
      <c r="M556">
        <f t="shared" si="123"/>
        <v>0</v>
      </c>
      <c r="N556" t="s">
        <v>0</v>
      </c>
      <c r="O556" t="s">
        <v>463</v>
      </c>
      <c r="P556" t="s">
        <v>637</v>
      </c>
      <c r="Q556" t="s">
        <v>74</v>
      </c>
    </row>
    <row r="557" spans="1:17" x14ac:dyDescent="0.3">
      <c r="A557" t="s">
        <v>40</v>
      </c>
      <c r="B557" t="s">
        <v>1015</v>
      </c>
      <c r="C557" t="s">
        <v>45</v>
      </c>
      <c r="D557" t="s">
        <v>1016</v>
      </c>
      <c r="E557" t="s">
        <v>10</v>
      </c>
      <c r="F557" t="str">
        <f t="shared" si="128"/>
        <v>R</v>
      </c>
      <c r="G557">
        <f t="shared" si="121"/>
        <v>0</v>
      </c>
      <c r="H557" t="s">
        <v>10</v>
      </c>
      <c r="I557" t="str">
        <f t="shared" si="129"/>
        <v>R</v>
      </c>
      <c r="J557" t="str">
        <f t="shared" si="130"/>
        <v>Yes</v>
      </c>
      <c r="K557">
        <f t="shared" si="122"/>
        <v>1</v>
      </c>
      <c r="L557" t="str">
        <f t="shared" si="127"/>
        <v>Yes</v>
      </c>
      <c r="M557">
        <f t="shared" si="123"/>
        <v>1</v>
      </c>
      <c r="N557" t="s">
        <v>0</v>
      </c>
      <c r="O557" t="s">
        <v>463</v>
      </c>
      <c r="P557" t="s">
        <v>637</v>
      </c>
      <c r="Q557" t="s">
        <v>74</v>
      </c>
    </row>
    <row r="558" spans="1:17" x14ac:dyDescent="0.3">
      <c r="A558" t="s">
        <v>40</v>
      </c>
      <c r="B558" t="s">
        <v>1015</v>
      </c>
      <c r="C558" t="s">
        <v>47</v>
      </c>
      <c r="D558" t="s">
        <v>1017</v>
      </c>
      <c r="E558" t="s">
        <v>172</v>
      </c>
      <c r="F558" t="s">
        <v>25</v>
      </c>
      <c r="G558">
        <f t="shared" si="121"/>
        <v>1</v>
      </c>
      <c r="H558" t="s">
        <v>59</v>
      </c>
      <c r="I558" t="s">
        <v>25</v>
      </c>
      <c r="J558" t="str">
        <f t="shared" si="130"/>
        <v>Yes</v>
      </c>
      <c r="K558">
        <f t="shared" si="122"/>
        <v>1</v>
      </c>
      <c r="L558" t="str">
        <f t="shared" si="127"/>
        <v>No</v>
      </c>
      <c r="M558">
        <f t="shared" si="123"/>
        <v>0</v>
      </c>
      <c r="N558" t="s">
        <v>0</v>
      </c>
      <c r="O558" t="s">
        <v>463</v>
      </c>
      <c r="P558" t="s">
        <v>637</v>
      </c>
      <c r="Q558" t="s">
        <v>74</v>
      </c>
    </row>
    <row r="559" spans="1:17" x14ac:dyDescent="0.3">
      <c r="A559" t="s">
        <v>40</v>
      </c>
      <c r="B559" t="s">
        <v>1015</v>
      </c>
      <c r="C559" t="s">
        <v>49</v>
      </c>
      <c r="D559" t="s">
        <v>997</v>
      </c>
      <c r="E559" t="s">
        <v>10</v>
      </c>
      <c r="F559" t="str">
        <f t="shared" si="128"/>
        <v>R</v>
      </c>
      <c r="G559">
        <f t="shared" si="121"/>
        <v>0</v>
      </c>
      <c r="H559" t="s">
        <v>59</v>
      </c>
      <c r="I559" t="s">
        <v>25</v>
      </c>
      <c r="J559" t="str">
        <f t="shared" si="130"/>
        <v>No</v>
      </c>
      <c r="K559">
        <f t="shared" si="122"/>
        <v>0</v>
      </c>
      <c r="L559" t="str">
        <f t="shared" si="127"/>
        <v>No</v>
      </c>
      <c r="M559">
        <f t="shared" si="123"/>
        <v>0</v>
      </c>
      <c r="N559" t="s">
        <v>0</v>
      </c>
      <c r="O559" t="s">
        <v>463</v>
      </c>
      <c r="P559" t="s">
        <v>637</v>
      </c>
      <c r="Q559" t="s">
        <v>74</v>
      </c>
    </row>
    <row r="560" spans="1:17" x14ac:dyDescent="0.3">
      <c r="A560" t="s">
        <v>51</v>
      </c>
      <c r="B560" t="s">
        <v>1018</v>
      </c>
      <c r="C560" t="s">
        <v>53</v>
      </c>
      <c r="D560" t="s">
        <v>999</v>
      </c>
      <c r="E560" t="s">
        <v>10</v>
      </c>
      <c r="F560" t="str">
        <f t="shared" si="128"/>
        <v>R</v>
      </c>
      <c r="G560">
        <f t="shared" si="121"/>
        <v>0</v>
      </c>
      <c r="H560" t="s">
        <v>10</v>
      </c>
      <c r="I560" t="str">
        <f t="shared" si="129"/>
        <v>R</v>
      </c>
      <c r="J560" t="str">
        <f t="shared" si="130"/>
        <v>Yes</v>
      </c>
      <c r="K560">
        <f t="shared" si="122"/>
        <v>1</v>
      </c>
      <c r="L560" t="str">
        <f t="shared" si="127"/>
        <v>Yes</v>
      </c>
      <c r="M560">
        <f t="shared" si="123"/>
        <v>1</v>
      </c>
      <c r="N560" t="s">
        <v>0</v>
      </c>
      <c r="O560" t="s">
        <v>463</v>
      </c>
      <c r="P560" t="s">
        <v>637</v>
      </c>
      <c r="Q560" t="s">
        <v>74</v>
      </c>
    </row>
    <row r="561" spans="1:17" x14ac:dyDescent="0.3">
      <c r="A561" t="s">
        <v>51</v>
      </c>
      <c r="B561" t="s">
        <v>1018</v>
      </c>
      <c r="C561" t="s">
        <v>55</v>
      </c>
      <c r="D561" t="s">
        <v>971</v>
      </c>
      <c r="E561" t="s">
        <v>10</v>
      </c>
      <c r="F561" t="str">
        <f t="shared" si="128"/>
        <v>R</v>
      </c>
      <c r="G561">
        <f t="shared" si="121"/>
        <v>0</v>
      </c>
      <c r="H561" t="s">
        <v>10</v>
      </c>
      <c r="I561" t="str">
        <f t="shared" si="129"/>
        <v>R</v>
      </c>
      <c r="J561" t="str">
        <f t="shared" si="130"/>
        <v>Yes</v>
      </c>
      <c r="K561">
        <f t="shared" si="122"/>
        <v>1</v>
      </c>
      <c r="L561" t="str">
        <f t="shared" si="127"/>
        <v>Yes</v>
      </c>
      <c r="M561">
        <f t="shared" si="123"/>
        <v>1</v>
      </c>
      <c r="N561" t="s">
        <v>0</v>
      </c>
      <c r="O561" t="s">
        <v>463</v>
      </c>
      <c r="P561" t="s">
        <v>637</v>
      </c>
      <c r="Q561" t="s">
        <v>74</v>
      </c>
    </row>
    <row r="562" spans="1:17" x14ac:dyDescent="0.3">
      <c r="A562" t="s">
        <v>51</v>
      </c>
      <c r="B562" t="s">
        <v>1018</v>
      </c>
      <c r="C562" t="s">
        <v>57</v>
      </c>
      <c r="D562" t="s">
        <v>1000</v>
      </c>
      <c r="E562" t="s">
        <v>10</v>
      </c>
      <c r="F562" t="str">
        <f t="shared" si="128"/>
        <v>R</v>
      </c>
      <c r="G562">
        <f t="shared" si="121"/>
        <v>0</v>
      </c>
      <c r="H562" t="s">
        <v>10</v>
      </c>
      <c r="I562" t="str">
        <f t="shared" si="129"/>
        <v>R</v>
      </c>
      <c r="J562" t="str">
        <f t="shared" si="130"/>
        <v>Yes</v>
      </c>
      <c r="K562">
        <f t="shared" si="122"/>
        <v>1</v>
      </c>
      <c r="L562" t="str">
        <f t="shared" si="127"/>
        <v>Yes</v>
      </c>
      <c r="M562">
        <f t="shared" si="123"/>
        <v>1</v>
      </c>
      <c r="N562" t="s">
        <v>0</v>
      </c>
      <c r="O562" t="s">
        <v>463</v>
      </c>
      <c r="P562" t="s">
        <v>637</v>
      </c>
      <c r="Q562" t="s">
        <v>74</v>
      </c>
    </row>
    <row r="563" spans="1:17" x14ac:dyDescent="0.3">
      <c r="A563" t="s">
        <v>60</v>
      </c>
      <c r="B563" t="s">
        <v>1019</v>
      </c>
      <c r="C563" t="s">
        <v>62</v>
      </c>
      <c r="D563" t="s">
        <v>1002</v>
      </c>
      <c r="E563" t="s">
        <v>59</v>
      </c>
      <c r="F563" t="s">
        <v>25</v>
      </c>
      <c r="G563">
        <f t="shared" si="121"/>
        <v>1</v>
      </c>
      <c r="H563" t="s">
        <v>10</v>
      </c>
      <c r="I563" t="str">
        <f t="shared" si="129"/>
        <v>R</v>
      </c>
      <c r="J563" t="str">
        <f t="shared" si="130"/>
        <v>No</v>
      </c>
      <c r="K563">
        <f t="shared" si="122"/>
        <v>0</v>
      </c>
      <c r="L563" t="str">
        <f t="shared" si="127"/>
        <v>No</v>
      </c>
      <c r="M563">
        <f t="shared" si="123"/>
        <v>0</v>
      </c>
      <c r="N563" t="s">
        <v>0</v>
      </c>
      <c r="O563" t="s">
        <v>463</v>
      </c>
      <c r="P563" t="s">
        <v>637</v>
      </c>
      <c r="Q563" t="s">
        <v>74</v>
      </c>
    </row>
    <row r="564" spans="1:17" x14ac:dyDescent="0.3">
      <c r="A564" t="s">
        <v>60</v>
      </c>
      <c r="B564" t="s">
        <v>1019</v>
      </c>
      <c r="C564" t="s">
        <v>64</v>
      </c>
      <c r="D564" t="s">
        <v>1003</v>
      </c>
      <c r="E564" t="s">
        <v>10</v>
      </c>
      <c r="F564" t="str">
        <f t="shared" si="128"/>
        <v>R</v>
      </c>
      <c r="G564">
        <f t="shared" si="121"/>
        <v>0</v>
      </c>
      <c r="H564" t="s">
        <v>10</v>
      </c>
      <c r="I564" t="str">
        <f t="shared" si="129"/>
        <v>R</v>
      </c>
      <c r="J564" t="str">
        <f t="shared" si="130"/>
        <v>Yes</v>
      </c>
      <c r="K564">
        <f t="shared" si="122"/>
        <v>1</v>
      </c>
      <c r="L564" t="str">
        <f t="shared" si="127"/>
        <v>Yes</v>
      </c>
      <c r="M564">
        <f t="shared" si="123"/>
        <v>1</v>
      </c>
      <c r="N564" t="s">
        <v>0</v>
      </c>
      <c r="O564" t="s">
        <v>463</v>
      </c>
      <c r="P564" t="s">
        <v>637</v>
      </c>
      <c r="Q564" t="s">
        <v>74</v>
      </c>
    </row>
    <row r="565" spans="1:17" x14ac:dyDescent="0.3">
      <c r="A565" t="s">
        <v>60</v>
      </c>
      <c r="B565" t="s">
        <v>1019</v>
      </c>
      <c r="C565" t="s">
        <v>66</v>
      </c>
      <c r="D565" t="s">
        <v>1004</v>
      </c>
      <c r="E565" t="s">
        <v>10</v>
      </c>
      <c r="F565" t="str">
        <f t="shared" si="128"/>
        <v>R</v>
      </c>
      <c r="G565">
        <f t="shared" si="121"/>
        <v>0</v>
      </c>
      <c r="H565" t="s">
        <v>10</v>
      </c>
      <c r="I565" t="str">
        <f t="shared" si="129"/>
        <v>R</v>
      </c>
      <c r="J565" t="str">
        <f t="shared" si="130"/>
        <v>Yes</v>
      </c>
      <c r="K565">
        <f t="shared" si="122"/>
        <v>1</v>
      </c>
      <c r="L565" t="str">
        <f t="shared" si="127"/>
        <v>Yes</v>
      </c>
      <c r="M565">
        <f t="shared" si="123"/>
        <v>1</v>
      </c>
      <c r="N565" t="s">
        <v>0</v>
      </c>
      <c r="O565" t="s">
        <v>463</v>
      </c>
      <c r="P565" t="s">
        <v>637</v>
      </c>
      <c r="Q565" t="s">
        <v>74</v>
      </c>
    </row>
  </sheetData>
  <autoFilter ref="A1:Q565" xr:uid="{CBDBD77B-1AC1-4B54-AAEC-ED107016E2B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Kyo Gerrits</dc:creator>
  <cp:lastModifiedBy>Kyo Gerrits</cp:lastModifiedBy>
  <dcterms:created xsi:type="dcterms:W3CDTF">2026-03-03T09:53:20Z</dcterms:created>
  <dcterms:modified xsi:type="dcterms:W3CDTF">2026-05-07T13:17:56Z</dcterms:modified>
</cp:coreProperties>
</file>